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经营看板" sheetId="1" state="visible" r:id="rId1"/>
    <sheet name="库存明细" sheetId="2" state="visible" r:id="rId2"/>
    <sheet name="商品档案" sheetId="3" state="visible" r:id="rId3"/>
    <sheet name="采购明细" sheetId="4" state="visible" r:id="rId4"/>
    <sheet name="入库明细" sheetId="5" state="visible" r:id="rId5"/>
    <sheet name="销售订单" sheetId="6" state="visible" r:id="rId6"/>
    <sheet name="客户档案" sheetId="7" state="visible" r:id="rId7"/>
    <sheet name="退款售后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2563EB"/>
      <sz val="11"/>
    </font>
  </fonts>
  <fills count="5">
    <fill>
      <patternFill/>
    </fill>
    <fill>
      <patternFill patternType="gray125"/>
    </fill>
    <fill>
      <patternFill patternType="solid">
        <fgColor rgb="FF183B5B"/>
      </patternFill>
    </fill>
    <fill>
      <patternFill patternType="solid">
        <fgColor rgb="FF2563EB"/>
      </patternFill>
    </fill>
    <fill>
      <patternFill patternType="solid">
        <fgColor rgb="FFF3F4F6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164" fontId="0" fillId="0" borderId="1" pivotButton="0" quotePrefix="0" xfId="0"/>
    <xf numFmtId="4" fontId="0" fillId="0" borderId="1" pivotButton="0" quotePrefix="0" xfId="0"/>
    <xf numFmtId="4" fontId="4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/>
  </cellStyles>
  <dxfs count="1">
    <dxf>
      <font>
        <b val="1"/>
        <color rgb="FFB91C1C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库存明细Table" displayName="库存明细Table" ref="A3:J15" headerRowCount="1" totalsRowCount="0" totalsRowShown="0">
  <tableColumns count="10">
    <tableColumn id="1" name="款号"/>
    <tableColumn id="2" name="商品名称"/>
    <tableColumn id="3" name="仓库"/>
    <tableColumn id="4" name="累计入库"/>
    <tableColumn id="5" name="近14天销量"/>
    <tableColumn id="6" name="锁定库存"/>
    <tableColumn id="7" name="可售库存"/>
    <tableColumn id="8" name="安全库存"/>
    <tableColumn id="9" name="库存状态"/>
    <tableColumn id="10" name="更新时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商品档案Table" displayName="商品档案Table" ref="A3:G15" headerRowCount="1" totalsRowCount="0" totalsRowShown="0">
  <tableColumns count="7">
    <tableColumn id="1" name="款号"/>
    <tableColumn id="2" name="商品名称"/>
    <tableColumn id="3" name="品类"/>
    <tableColumn id="4" name="供应商"/>
    <tableColumn id="5" name="建议进货价"/>
    <tableColumn id="6" name="建议批发价"/>
    <tableColumn id="7" name="商品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采购明细Table" displayName="采购明细Table" ref="A3:I15" headerRowCount="1" totalsRowCount="0" totalsRowShown="0">
  <tableColumns count="9">
    <tableColumn id="1" name="采购单号"/>
    <tableColumn id="2" name="款号"/>
    <tableColumn id="3" name="供应商"/>
    <tableColumn id="4" name="进货数量"/>
    <tableColumn id="5" name="进货单价"/>
    <tableColumn id="6" name="进货金额"/>
    <tableColumn id="7" name="日期"/>
    <tableColumn id="8" name="到货状态"/>
    <tableColumn id="9" name="入库仓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入库明细Table" displayName="入库明细Table" ref="A3:G15" headerRowCount="1" totalsRowCount="0" totalsRowShown="0">
  <tableColumns count="7">
    <tableColumn id="1" name="入库单号"/>
    <tableColumn id="2" name="采购单号"/>
    <tableColumn id="3" name="款号"/>
    <tableColumn id="4" name="入库数量"/>
    <tableColumn id="5" name="仓库"/>
    <tableColumn id="6" name="入库日期"/>
    <tableColumn id="7" name="质检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销售订单Table" displayName="销售订单Table" ref="A3:N59" headerRowCount="1" totalsRowCount="0" totalsRowShown="0">
  <tableColumns count="14">
    <tableColumn id="1" name="订单号"/>
    <tableColumn id="2" name="订单日期"/>
    <tableColumn id="3" name="客户编号"/>
    <tableColumn id="4" name="客户名称"/>
    <tableColumn id="5" name="款号"/>
    <tableColumn id="6" name="商品名称"/>
    <tableColumn id="7" name="销售数量"/>
    <tableColumn id="8" name="批发单价"/>
    <tableColumn id="9" name="折扣率"/>
    <tableColumn id="10" name="优惠金额"/>
    <tableColumn id="11" name="运费"/>
    <tableColumn id="12" name="实收金额"/>
    <tableColumn id="13" name="订单状态"/>
    <tableColumn id="14" name="销售渠道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客户档案Table" displayName="客户档案Table" ref="A3:E11" headerRowCount="1" totalsRowCount="0" totalsRowShown="0">
  <tableColumns count="5">
    <tableColumn id="1" name="客户编号"/>
    <tableColumn id="2" name="客户名称"/>
    <tableColumn id="3" name="省份"/>
    <tableColumn id="4" name="客户类型"/>
    <tableColumn id="5" name="客户等级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退款售后Table" displayName="退款售后Table" ref="A3:I9" headerRowCount="1" totalsRowCount="0" totalsRowShown="0">
  <tableColumns count="9">
    <tableColumn id="1" name="订单号"/>
    <tableColumn id="2" name="订单日期"/>
    <tableColumn id="3" name="客户编号"/>
    <tableColumn id="4" name="款号"/>
    <tableColumn id="5" name="退款数量"/>
    <tableColumn id="6" name="退款金额"/>
    <tableColumn id="7" name="退款原因"/>
    <tableColumn id="8" name="处理状态"/>
    <tableColumn id="9" name="申请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" customWidth="1" min="3" max="3"/>
    <col width="18" customWidth="1" min="4" max="4"/>
    <col width="26" customWidth="1" min="5" max="5"/>
    <col width="14" customWidth="1" min="6" max="6"/>
    <col width="14" customWidth="1" min="7" max="7"/>
    <col width="14" customWidth="1" min="8" max="8"/>
    <col width="4" customWidth="1" min="9" max="9"/>
    <col width="18" customWidth="1" min="10" max="10"/>
    <col width="26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3" t="inlineStr">
        <is>
          <t>2026 年 7 月 · 电商服装批发经营看板</t>
        </is>
      </c>
    </row>
    <row r="3">
      <c r="A3" s="6" t="inlineStr">
        <is>
          <t>本月核心指标</t>
        </is>
      </c>
      <c r="B3" s="6" t="inlineStr">
        <is>
          <t>数值</t>
        </is>
      </c>
      <c r="D3" s="6" t="inlineStr">
        <is>
          <t>款号</t>
        </is>
      </c>
      <c r="E3" s="6" t="inlineStr">
        <is>
          <t>商品名称</t>
        </is>
      </c>
      <c r="F3" s="6" t="inlineStr">
        <is>
          <t>近14天销量</t>
        </is>
      </c>
      <c r="G3" s="6" t="inlineStr">
        <is>
          <t>可售库存</t>
        </is>
      </c>
      <c r="H3" s="6" t="inlineStr">
        <is>
          <t>库存状态</t>
        </is>
      </c>
      <c r="J3" s="13" t="inlineStr">
        <is>
          <t>测试用法</t>
        </is>
      </c>
      <c r="K3" s="13" t="inlineStr">
        <is>
          <t>说明</t>
        </is>
      </c>
    </row>
    <row r="4">
      <c r="A4" s="9" t="inlineStr">
        <is>
          <t>销售订单数</t>
        </is>
      </c>
      <c r="B4" s="20">
        <f>COUNTA('销售订单'!A4:A59)</f>
        <v/>
      </c>
      <c r="D4" s="7">
        <f>'库存明细'!A4</f>
        <v/>
      </c>
      <c r="E4" s="7">
        <f>'库存明细'!B4</f>
        <v/>
      </c>
      <c r="F4" s="7">
        <f>'库存明细'!E4</f>
        <v/>
      </c>
      <c r="G4" s="7">
        <f>'库存明细'!G4</f>
        <v/>
      </c>
      <c r="H4" s="7">
        <f>'库存明细'!I4</f>
        <v/>
      </c>
      <c r="J4" s="14" t="inlineStr">
        <is>
          <t>1. 扫描</t>
        </is>
      </c>
      <c r="K4" s="14" t="inlineStr">
        <is>
          <t>先运行 WorkBuddy Skill 的 inspect</t>
        </is>
      </c>
    </row>
    <row r="5">
      <c r="A5" s="9" t="inlineStr">
        <is>
          <t>销售金额</t>
        </is>
      </c>
      <c r="B5" s="20">
        <f>SUM('销售订单'!L4:L59)</f>
        <v/>
      </c>
      <c r="D5" s="7">
        <f>'库存明细'!A5</f>
        <v/>
      </c>
      <c r="E5" s="7">
        <f>'库存明细'!B5</f>
        <v/>
      </c>
      <c r="F5" s="7">
        <f>'库存明细'!E5</f>
        <v/>
      </c>
      <c r="G5" s="7">
        <f>'库存明细'!G5</f>
        <v/>
      </c>
      <c r="H5" s="7">
        <f>'库存明细'!I5</f>
        <v/>
      </c>
      <c r="J5" s="14" t="inlineStr">
        <is>
          <t>2. 确认关联</t>
        </is>
      </c>
      <c r="K5" s="14" t="inlineStr">
        <is>
          <t>确认采购、入库、销售、库存的款号关系</t>
        </is>
      </c>
    </row>
    <row r="6">
      <c r="A6" s="9" t="inlineStr">
        <is>
          <t>销售件数</t>
        </is>
      </c>
      <c r="B6" s="20">
        <f>SUM('销售订单'!G4:G59)</f>
        <v/>
      </c>
      <c r="D6" s="7">
        <f>'库存明细'!A6</f>
        <v/>
      </c>
      <c r="E6" s="7">
        <f>'库存明细'!B6</f>
        <v/>
      </c>
      <c r="F6" s="7">
        <f>'库存明细'!E6</f>
        <v/>
      </c>
      <c r="G6" s="7">
        <f>'库存明细'!G6</f>
        <v/>
      </c>
      <c r="H6" s="7">
        <f>'库存明细'!I6</f>
        <v/>
      </c>
      <c r="J6" s="14" t="inlineStr">
        <is>
          <t>3. 提问</t>
        </is>
      </c>
      <c r="K6" s="14" t="inlineStr">
        <is>
          <t>例如：本周销量前十但库存低于20的款有哪些？</t>
        </is>
      </c>
    </row>
    <row r="7">
      <c r="A7" s="9" t="inlineStr">
        <is>
          <t>退款金额</t>
        </is>
      </c>
      <c r="B7" s="20">
        <f>SUM('退款售后'!F4:F9)</f>
        <v/>
      </c>
      <c r="D7" s="7">
        <f>'库存明细'!A7</f>
        <v/>
      </c>
      <c r="E7" s="7">
        <f>'库存明细'!B7</f>
        <v/>
      </c>
      <c r="F7" s="7">
        <f>'库存明细'!E7</f>
        <v/>
      </c>
      <c r="G7" s="7">
        <f>'库存明细'!G7</f>
        <v/>
      </c>
      <c r="H7" s="7">
        <f>'库存明细'!I7</f>
        <v/>
      </c>
    </row>
    <row r="8">
      <c r="A8" s="9" t="inlineStr">
        <is>
          <t>库存预警款数</t>
        </is>
      </c>
      <c r="B8" s="20">
        <f>COUNTIF('库存明细'!I4:I15,"需补货")</f>
        <v/>
      </c>
      <c r="D8" s="7">
        <f>'库存明细'!A8</f>
        <v/>
      </c>
      <c r="E8" s="7">
        <f>'库存明细'!B8</f>
        <v/>
      </c>
      <c r="F8" s="7">
        <f>'库存明细'!E8</f>
        <v/>
      </c>
      <c r="G8" s="7">
        <f>'库存明细'!G8</f>
        <v/>
      </c>
      <c r="H8" s="7">
        <f>'库存明细'!I8</f>
        <v/>
      </c>
    </row>
    <row r="9">
      <c r="A9" s="9" t="inlineStr">
        <is>
          <t>采购金额</t>
        </is>
      </c>
      <c r="B9" s="20">
        <f>SUM('采购明细'!F4:F15)</f>
        <v/>
      </c>
      <c r="D9" s="7">
        <f>'库存明细'!A9</f>
        <v/>
      </c>
      <c r="E9" s="7">
        <f>'库存明细'!B9</f>
        <v/>
      </c>
      <c r="F9" s="7">
        <f>'库存明细'!E9</f>
        <v/>
      </c>
      <c r="G9" s="7">
        <f>'库存明细'!G9</f>
        <v/>
      </c>
      <c r="H9" s="7">
        <f>'库存明细'!I9</f>
        <v/>
      </c>
    </row>
    <row r="10">
      <c r="D10" s="7">
        <f>'库存明细'!A10</f>
        <v/>
      </c>
      <c r="E10" s="7">
        <f>'库存明细'!B10</f>
        <v/>
      </c>
      <c r="F10" s="7">
        <f>'库存明细'!E10</f>
        <v/>
      </c>
      <c r="G10" s="7">
        <f>'库存明细'!G10</f>
        <v/>
      </c>
      <c r="H10" s="7">
        <f>'库存明细'!I10</f>
        <v/>
      </c>
    </row>
    <row r="11">
      <c r="D11" s="7">
        <f>'库存明细'!A11</f>
        <v/>
      </c>
      <c r="E11" s="7">
        <f>'库存明细'!B11</f>
        <v/>
      </c>
      <c r="F11" s="7">
        <f>'库存明细'!E11</f>
        <v/>
      </c>
      <c r="G11" s="7">
        <f>'库存明细'!G11</f>
        <v/>
      </c>
      <c r="H11" s="7">
        <f>'库存明细'!I11</f>
        <v/>
      </c>
    </row>
    <row r="12">
      <c r="D12" s="7">
        <f>'库存明细'!A12</f>
        <v/>
      </c>
      <c r="E12" s="7">
        <f>'库存明细'!B12</f>
        <v/>
      </c>
      <c r="F12" s="7">
        <f>'库存明细'!E12</f>
        <v/>
      </c>
      <c r="G12" s="7">
        <f>'库存明细'!G12</f>
        <v/>
      </c>
      <c r="H12" s="7">
        <f>'库存明细'!I12</f>
        <v/>
      </c>
    </row>
    <row r="13">
      <c r="D13" s="7">
        <f>'库存明细'!A13</f>
        <v/>
      </c>
      <c r="E13" s="7">
        <f>'库存明细'!B13</f>
        <v/>
      </c>
      <c r="F13" s="7">
        <f>'库存明细'!E13</f>
        <v/>
      </c>
      <c r="G13" s="7">
        <f>'库存明细'!G13</f>
        <v/>
      </c>
      <c r="H13" s="7">
        <f>'库存明细'!I13</f>
        <v/>
      </c>
    </row>
    <row r="14">
      <c r="D14" s="7">
        <f>'库存明细'!A14</f>
        <v/>
      </c>
      <c r="E14" s="7">
        <f>'库存明细'!B14</f>
        <v/>
      </c>
      <c r="F14" s="7">
        <f>'库存明细'!E14</f>
        <v/>
      </c>
      <c r="G14" s="7">
        <f>'库存明细'!G14</f>
        <v/>
      </c>
      <c r="H14" s="7">
        <f>'库存明细'!I14</f>
        <v/>
      </c>
    </row>
    <row r="15">
      <c r="D15" s="7">
        <f>'库存明细'!A15</f>
        <v/>
      </c>
      <c r="E15" s="7">
        <f>'库存明细'!B15</f>
        <v/>
      </c>
      <c r="F15" s="7">
        <f>'库存明细'!E15</f>
        <v/>
      </c>
      <c r="G15" s="7">
        <f>'库存明细'!G15</f>
        <v/>
      </c>
      <c r="H15" s="7">
        <f>'库存明细'!I15</f>
        <v/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 ht="30" customHeight="1">
      <c r="A1" s="3" t="inlineStr">
        <is>
          <t>库存明细 · 可售库存与补货预警</t>
        </is>
      </c>
    </row>
    <row r="3">
      <c r="A3" s="17" t="inlineStr">
        <is>
          <t>款号</t>
        </is>
      </c>
      <c r="B3" s="17" t="inlineStr">
        <is>
          <t>商品名称</t>
        </is>
      </c>
      <c r="C3" s="17" t="inlineStr">
        <is>
          <t>仓库</t>
        </is>
      </c>
      <c r="D3" s="17" t="inlineStr">
        <is>
          <t>累计入库</t>
        </is>
      </c>
      <c r="E3" s="17" t="inlineStr">
        <is>
          <t>近14天销量</t>
        </is>
      </c>
      <c r="F3" s="17" t="inlineStr">
        <is>
          <t>锁定库存</t>
        </is>
      </c>
      <c r="G3" s="17" t="inlineStr">
        <is>
          <t>可售库存</t>
        </is>
      </c>
      <c r="H3" s="17" t="inlineStr">
        <is>
          <t>安全库存</t>
        </is>
      </c>
      <c r="I3" s="17" t="inlineStr">
        <is>
          <t>库存状态</t>
        </is>
      </c>
      <c r="J3" s="17" t="inlineStr">
        <is>
          <t>更新时间</t>
        </is>
      </c>
    </row>
    <row r="4">
      <c r="A4" s="7" t="inlineStr">
        <is>
          <t>FS-2401</t>
        </is>
      </c>
      <c r="B4" s="7" t="inlineStr">
        <is>
          <t>复古水洗直筒牛仔裤</t>
        </is>
      </c>
      <c r="C4" s="7" t="inlineStr">
        <is>
          <t>广州仓</t>
        </is>
      </c>
      <c r="D4" s="7" t="n">
        <v>130</v>
      </c>
      <c r="E4" s="7" t="n">
        <v>76</v>
      </c>
      <c r="F4" s="7" t="n">
        <v>0</v>
      </c>
      <c r="G4" s="7" t="n">
        <v>54</v>
      </c>
      <c r="H4" s="7" t="n">
        <v>20</v>
      </c>
      <c r="I4" s="7" t="inlineStr">
        <is>
          <t>正常</t>
        </is>
      </c>
      <c r="J4" s="21" t="n">
        <v>46231</v>
      </c>
    </row>
    <row r="5">
      <c r="A5" s="7" t="inlineStr">
        <is>
          <t>FS-2402</t>
        </is>
      </c>
      <c r="B5" s="7" t="inlineStr">
        <is>
          <t>法式方领碎花连衣裙</t>
        </is>
      </c>
      <c r="C5" s="7" t="inlineStr">
        <is>
          <t>广州仓</t>
        </is>
      </c>
      <c r="D5" s="7" t="n">
        <v>142</v>
      </c>
      <c r="E5" s="7" t="n">
        <v>39</v>
      </c>
      <c r="F5" s="7" t="n">
        <v>0</v>
      </c>
      <c r="G5" s="7" t="n">
        <v>103</v>
      </c>
      <c r="H5" s="7" t="n">
        <v>18</v>
      </c>
      <c r="I5" s="7" t="inlineStr">
        <is>
          <t>正常</t>
        </is>
      </c>
      <c r="J5" s="21" t="n">
        <v>46231</v>
      </c>
    </row>
    <row r="6">
      <c r="A6" s="7" t="inlineStr">
        <is>
          <t>FS-2403</t>
        </is>
      </c>
      <c r="B6" s="7" t="inlineStr">
        <is>
          <t>宽松纯棉印花T恤</t>
        </is>
      </c>
      <c r="C6" s="7" t="inlineStr">
        <is>
          <t>广州仓</t>
        </is>
      </c>
      <c r="D6" s="7" t="n">
        <v>154</v>
      </c>
      <c r="E6" s="7" t="n">
        <v>34</v>
      </c>
      <c r="F6" s="7" t="n">
        <v>0</v>
      </c>
      <c r="G6" s="7" t="n">
        <v>120</v>
      </c>
      <c r="H6" s="7" t="n">
        <v>35</v>
      </c>
      <c r="I6" s="7" t="inlineStr">
        <is>
          <t>正常</t>
        </is>
      </c>
      <c r="J6" s="21" t="n">
        <v>46231</v>
      </c>
    </row>
    <row r="7">
      <c r="A7" s="7" t="inlineStr">
        <is>
          <t>FS-2404</t>
        </is>
      </c>
      <c r="B7" s="7" t="inlineStr">
        <is>
          <t>高腰阔腿西装裤</t>
        </is>
      </c>
      <c r="C7" s="7" t="inlineStr">
        <is>
          <t>广州仓</t>
        </is>
      </c>
      <c r="D7" s="7" t="n">
        <v>166</v>
      </c>
      <c r="E7" s="7" t="n">
        <v>79</v>
      </c>
      <c r="F7" s="7" t="n">
        <v>0</v>
      </c>
      <c r="G7" s="7" t="n">
        <v>87</v>
      </c>
      <c r="H7" s="7" t="n">
        <v>20</v>
      </c>
      <c r="I7" s="7" t="inlineStr">
        <is>
          <t>正常</t>
        </is>
      </c>
      <c r="J7" s="21" t="n">
        <v>46231</v>
      </c>
    </row>
    <row r="8">
      <c r="A8" s="7" t="inlineStr">
        <is>
          <t>FS-2405</t>
        </is>
      </c>
      <c r="B8" s="7" t="inlineStr">
        <is>
          <t>冰丝针织开衫</t>
        </is>
      </c>
      <c r="C8" s="7" t="inlineStr">
        <is>
          <t>广州仓</t>
        </is>
      </c>
      <c r="D8" s="7" t="n">
        <v>178</v>
      </c>
      <c r="E8" s="7" t="n">
        <v>28</v>
      </c>
      <c r="F8" s="7" t="n">
        <v>0</v>
      </c>
      <c r="G8" s="7" t="n">
        <v>150</v>
      </c>
      <c r="H8" s="7" t="n">
        <v>25</v>
      </c>
      <c r="I8" s="7" t="inlineStr">
        <is>
          <t>正常</t>
        </is>
      </c>
      <c r="J8" s="21" t="n">
        <v>46231</v>
      </c>
    </row>
    <row r="9">
      <c r="A9" s="7" t="inlineStr">
        <is>
          <t>FS-2406</t>
        </is>
      </c>
      <c r="B9" s="7" t="inlineStr">
        <is>
          <t>港风短袖衬衫</t>
        </is>
      </c>
      <c r="C9" s="7" t="inlineStr">
        <is>
          <t>广州仓</t>
        </is>
      </c>
      <c r="D9" s="7" t="n">
        <v>190</v>
      </c>
      <c r="E9" s="7" t="n">
        <v>38</v>
      </c>
      <c r="F9" s="7" t="n">
        <v>0</v>
      </c>
      <c r="G9" s="7" t="n">
        <v>152</v>
      </c>
      <c r="H9" s="7" t="n">
        <v>22</v>
      </c>
      <c r="I9" s="7" t="inlineStr">
        <is>
          <t>正常</t>
        </is>
      </c>
      <c r="J9" s="21" t="n">
        <v>46231</v>
      </c>
    </row>
    <row r="10">
      <c r="A10" s="7" t="inlineStr">
        <is>
          <t>FS-2407</t>
        </is>
      </c>
      <c r="B10" s="7" t="inlineStr">
        <is>
          <t>基础百搭背心</t>
        </is>
      </c>
      <c r="C10" s="7" t="inlineStr">
        <is>
          <t>广州仓</t>
        </is>
      </c>
      <c r="D10" s="7" t="n">
        <v>202</v>
      </c>
      <c r="E10" s="7" t="n">
        <v>64</v>
      </c>
      <c r="F10" s="7" t="n">
        <v>0</v>
      </c>
      <c r="G10" s="7" t="n">
        <v>138</v>
      </c>
      <c r="H10" s="7" t="n">
        <v>40</v>
      </c>
      <c r="I10" s="7" t="inlineStr">
        <is>
          <t>正常</t>
        </is>
      </c>
      <c r="J10" s="21" t="n">
        <v>46231</v>
      </c>
    </row>
    <row r="11">
      <c r="A11" s="7" t="inlineStr">
        <is>
          <t>FS-2408</t>
        </is>
      </c>
      <c r="B11" s="7" t="inlineStr">
        <is>
          <t>运动速干短裤</t>
        </is>
      </c>
      <c r="C11" s="7" t="inlineStr">
        <is>
          <t>广州仓</t>
        </is>
      </c>
      <c r="D11" s="7" t="n">
        <v>214</v>
      </c>
      <c r="E11" s="7" t="n">
        <v>63</v>
      </c>
      <c r="F11" s="7" t="n">
        <v>0</v>
      </c>
      <c r="G11" s="7" t="n">
        <v>151</v>
      </c>
      <c r="H11" s="7" t="n">
        <v>28</v>
      </c>
      <c r="I11" s="7" t="inlineStr">
        <is>
          <t>正常</t>
        </is>
      </c>
      <c r="J11" s="21" t="n">
        <v>46231</v>
      </c>
    </row>
    <row r="12">
      <c r="A12" s="7" t="inlineStr">
        <is>
          <t>FS-2409</t>
        </is>
      </c>
      <c r="B12" s="7" t="inlineStr">
        <is>
          <t>垂感醋酸半身裙</t>
        </is>
      </c>
      <c r="C12" s="7" t="inlineStr">
        <is>
          <t>广州仓</t>
        </is>
      </c>
      <c r="D12" s="7" t="n">
        <v>226</v>
      </c>
      <c r="E12" s="7" t="n">
        <v>36</v>
      </c>
      <c r="F12" s="7" t="n">
        <v>0</v>
      </c>
      <c r="G12" s="7" t="n">
        <v>190</v>
      </c>
      <c r="H12" s="7" t="n">
        <v>18</v>
      </c>
      <c r="I12" s="7" t="inlineStr">
        <is>
          <t>正常</t>
        </is>
      </c>
      <c r="J12" s="21" t="n">
        <v>46231</v>
      </c>
    </row>
    <row r="13">
      <c r="A13" s="7" t="inlineStr">
        <is>
          <t>FS-2410</t>
        </is>
      </c>
      <c r="B13" s="7" t="inlineStr">
        <is>
          <t>轻薄防晒衬衣</t>
        </is>
      </c>
      <c r="C13" s="7" t="inlineStr">
        <is>
          <t>广州仓</t>
        </is>
      </c>
      <c r="D13" s="7" t="n">
        <v>238</v>
      </c>
      <c r="E13" s="7" t="n">
        <v>75</v>
      </c>
      <c r="F13" s="7" t="n">
        <v>0</v>
      </c>
      <c r="G13" s="7" t="n">
        <v>163</v>
      </c>
      <c r="H13" s="7" t="n">
        <v>24</v>
      </c>
      <c r="I13" s="7" t="inlineStr">
        <is>
          <t>正常</t>
        </is>
      </c>
      <c r="J13" s="21" t="n">
        <v>46231</v>
      </c>
    </row>
    <row r="14">
      <c r="A14" s="7" t="inlineStr">
        <is>
          <t>FS-2411</t>
        </is>
      </c>
      <c r="B14" s="7" t="inlineStr">
        <is>
          <t>美式宽松卫衣</t>
        </is>
      </c>
      <c r="C14" s="7" t="inlineStr">
        <is>
          <t>广州仓</t>
        </is>
      </c>
      <c r="D14" s="7" t="n">
        <v>250</v>
      </c>
      <c r="E14" s="7" t="n">
        <v>42</v>
      </c>
      <c r="F14" s="7" t="n">
        <v>0</v>
      </c>
      <c r="G14" s="7" t="n">
        <v>208</v>
      </c>
      <c r="H14" s="7" t="n">
        <v>30</v>
      </c>
      <c r="I14" s="7" t="inlineStr">
        <is>
          <t>正常</t>
        </is>
      </c>
      <c r="J14" s="21" t="n">
        <v>46231</v>
      </c>
    </row>
    <row r="15">
      <c r="A15" s="7" t="inlineStr">
        <is>
          <t>FS-2412</t>
        </is>
      </c>
      <c r="B15" s="7" t="inlineStr">
        <is>
          <t>格纹百褶短裙</t>
        </is>
      </c>
      <c r="C15" s="7" t="inlineStr">
        <is>
          <t>广州仓</t>
        </is>
      </c>
      <c r="D15" s="7" t="n">
        <v>262</v>
      </c>
      <c r="E15" s="7" t="n">
        <v>39</v>
      </c>
      <c r="F15" s="7" t="n">
        <v>0</v>
      </c>
      <c r="G15" s="7" t="n">
        <v>223</v>
      </c>
      <c r="H15" s="7" t="n">
        <v>16</v>
      </c>
      <c r="I15" s="7" t="inlineStr">
        <is>
          <t>正常</t>
        </is>
      </c>
      <c r="J15" s="21" t="n">
        <v>46231</v>
      </c>
    </row>
  </sheetData>
  <mergeCells count="1">
    <mergeCell ref="A1:N1"/>
  </mergeCells>
  <conditionalFormatting sqref="I4:I15">
    <cfRule type="containsText" priority="1" operator="containsText" dxfId="0" text="需补货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0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3" t="inlineStr">
        <is>
          <t>商品档案 · SKU 主数据</t>
        </is>
      </c>
    </row>
    <row r="3">
      <c r="A3" s="17" t="inlineStr">
        <is>
          <t>款号</t>
        </is>
      </c>
      <c r="B3" s="17" t="inlineStr">
        <is>
          <t>商品名称</t>
        </is>
      </c>
      <c r="C3" s="17" t="inlineStr">
        <is>
          <t>品类</t>
        </is>
      </c>
      <c r="D3" s="17" t="inlineStr">
        <is>
          <t>供应商</t>
        </is>
      </c>
      <c r="E3" s="17" t="inlineStr">
        <is>
          <t>建议进货价</t>
        </is>
      </c>
      <c r="F3" s="17" t="inlineStr">
        <is>
          <t>建议批发价</t>
        </is>
      </c>
      <c r="G3" s="17" t="inlineStr">
        <is>
          <t>商品状态</t>
        </is>
      </c>
    </row>
    <row r="4">
      <c r="A4" s="7" t="inlineStr">
        <is>
          <t>FS-2401</t>
        </is>
      </c>
      <c r="B4" s="7" t="inlineStr">
        <is>
          <t>复古水洗直筒牛仔裤</t>
        </is>
      </c>
      <c r="C4" s="7" t="inlineStr">
        <is>
          <t>女装</t>
        </is>
      </c>
      <c r="D4" s="7" t="inlineStr">
        <is>
          <t>广州优衣供应链</t>
        </is>
      </c>
      <c r="E4" s="22" t="n">
        <v>45</v>
      </c>
      <c r="F4" s="22" t="n">
        <v>89</v>
      </c>
      <c r="G4" s="7" t="inlineStr">
        <is>
          <t>主推</t>
        </is>
      </c>
    </row>
    <row r="5">
      <c r="A5" s="7" t="inlineStr">
        <is>
          <t>FS-2402</t>
        </is>
      </c>
      <c r="B5" s="7" t="inlineStr">
        <is>
          <t>法式方领碎花连衣裙</t>
        </is>
      </c>
      <c r="C5" s="7" t="inlineStr">
        <is>
          <t>女装</t>
        </is>
      </c>
      <c r="D5" s="7" t="inlineStr">
        <is>
          <t>杭州潮品厂</t>
        </is>
      </c>
      <c r="E5" s="22" t="n">
        <v>38</v>
      </c>
      <c r="F5" s="22" t="n">
        <v>76</v>
      </c>
      <c r="G5" s="7" t="inlineStr">
        <is>
          <t>主推</t>
        </is>
      </c>
    </row>
    <row r="6">
      <c r="A6" s="7" t="inlineStr">
        <is>
          <t>FS-2403</t>
        </is>
      </c>
      <c r="B6" s="7" t="inlineStr">
        <is>
          <t>宽松纯棉印花T恤</t>
        </is>
      </c>
      <c r="C6" s="7" t="inlineStr">
        <is>
          <t>女装</t>
        </is>
      </c>
      <c r="D6" s="7" t="inlineStr">
        <is>
          <t>东莞棉感制衣</t>
        </is>
      </c>
      <c r="E6" s="22" t="n">
        <v>22</v>
      </c>
      <c r="F6" s="22" t="n">
        <v>45</v>
      </c>
      <c r="G6" s="7" t="inlineStr">
        <is>
          <t>常规</t>
        </is>
      </c>
    </row>
    <row r="7">
      <c r="A7" s="7" t="inlineStr">
        <is>
          <t>FS-2404</t>
        </is>
      </c>
      <c r="B7" s="7" t="inlineStr">
        <is>
          <t>高腰阔腿西装裤</t>
        </is>
      </c>
      <c r="C7" s="7" t="inlineStr">
        <is>
          <t>女装</t>
        </is>
      </c>
      <c r="D7" s="7" t="inlineStr">
        <is>
          <t>广州优衣供应链</t>
        </is>
      </c>
      <c r="E7" s="22" t="n">
        <v>42</v>
      </c>
      <c r="F7" s="22" t="n">
        <v>78</v>
      </c>
      <c r="G7" s="7" t="inlineStr">
        <is>
          <t>主推</t>
        </is>
      </c>
    </row>
    <row r="8">
      <c r="A8" s="7" t="inlineStr">
        <is>
          <t>FS-2405</t>
        </is>
      </c>
      <c r="B8" s="7" t="inlineStr">
        <is>
          <t>冰丝针织开衫</t>
        </is>
      </c>
      <c r="C8" s="7" t="inlineStr">
        <is>
          <t>女装</t>
        </is>
      </c>
      <c r="D8" s="7" t="inlineStr">
        <is>
          <t>杭州潮品厂</t>
        </is>
      </c>
      <c r="E8" s="22" t="n">
        <v>35</v>
      </c>
      <c r="F8" s="22" t="n">
        <v>69</v>
      </c>
      <c r="G8" s="7" t="inlineStr">
        <is>
          <t>常规</t>
        </is>
      </c>
    </row>
    <row r="9">
      <c r="A9" s="7" t="inlineStr">
        <is>
          <t>FS-2406</t>
        </is>
      </c>
      <c r="B9" s="7" t="inlineStr">
        <is>
          <t>港风短袖衬衫</t>
        </is>
      </c>
      <c r="C9" s="7" t="inlineStr">
        <is>
          <t>男装</t>
        </is>
      </c>
      <c r="D9" s="7" t="inlineStr">
        <is>
          <t>深圳潮男工坊</t>
        </is>
      </c>
      <c r="E9" s="22" t="n">
        <v>39</v>
      </c>
      <c r="F9" s="22" t="n">
        <v>72</v>
      </c>
      <c r="G9" s="7" t="inlineStr">
        <is>
          <t>主推</t>
        </is>
      </c>
    </row>
    <row r="10">
      <c r="A10" s="7" t="inlineStr">
        <is>
          <t>FS-2407</t>
        </is>
      </c>
      <c r="B10" s="7" t="inlineStr">
        <is>
          <t>基础百搭背心</t>
        </is>
      </c>
      <c r="C10" s="7" t="inlineStr">
        <is>
          <t>女装</t>
        </is>
      </c>
      <c r="D10" s="7" t="inlineStr">
        <is>
          <t>东莞棉感制衣</t>
        </is>
      </c>
      <c r="E10" s="22" t="n">
        <v>16</v>
      </c>
      <c r="F10" s="22" t="n">
        <v>35</v>
      </c>
      <c r="G10" s="7" t="inlineStr">
        <is>
          <t>引流</t>
        </is>
      </c>
    </row>
    <row r="11">
      <c r="A11" s="7" t="inlineStr">
        <is>
          <t>FS-2408</t>
        </is>
      </c>
      <c r="B11" s="7" t="inlineStr">
        <is>
          <t>运动速干短裤</t>
        </is>
      </c>
      <c r="C11" s="7" t="inlineStr">
        <is>
          <t>男装</t>
        </is>
      </c>
      <c r="D11" s="7" t="inlineStr">
        <is>
          <t>深圳潮男工坊</t>
        </is>
      </c>
      <c r="E11" s="22" t="n">
        <v>28</v>
      </c>
      <c r="F11" s="22" t="n">
        <v>59</v>
      </c>
      <c r="G11" s="7" t="inlineStr">
        <is>
          <t>常规</t>
        </is>
      </c>
    </row>
    <row r="12">
      <c r="A12" s="7" t="inlineStr">
        <is>
          <t>FS-2409</t>
        </is>
      </c>
      <c r="B12" s="7" t="inlineStr">
        <is>
          <t>垂感醋酸半身裙</t>
        </is>
      </c>
      <c r="C12" s="7" t="inlineStr">
        <is>
          <t>女装</t>
        </is>
      </c>
      <c r="D12" s="7" t="inlineStr">
        <is>
          <t>杭州潮品厂</t>
        </is>
      </c>
      <c r="E12" s="22" t="n">
        <v>45</v>
      </c>
      <c r="F12" s="22" t="n">
        <v>85</v>
      </c>
      <c r="G12" s="7" t="inlineStr">
        <is>
          <t>常规</t>
        </is>
      </c>
    </row>
    <row r="13">
      <c r="A13" s="7" t="inlineStr">
        <is>
          <t>FS-2410</t>
        </is>
      </c>
      <c r="B13" s="7" t="inlineStr">
        <is>
          <t>轻薄防晒衬衣</t>
        </is>
      </c>
      <c r="C13" s="7" t="inlineStr">
        <is>
          <t>女装</t>
        </is>
      </c>
      <c r="D13" s="7" t="inlineStr">
        <is>
          <t>广州优衣供应链</t>
        </is>
      </c>
      <c r="E13" s="22" t="n">
        <v>32</v>
      </c>
      <c r="F13" s="22" t="n">
        <v>65</v>
      </c>
      <c r="G13" s="7" t="inlineStr">
        <is>
          <t>主推</t>
        </is>
      </c>
    </row>
    <row r="14">
      <c r="A14" s="7" t="inlineStr">
        <is>
          <t>FS-2411</t>
        </is>
      </c>
      <c r="B14" s="7" t="inlineStr">
        <is>
          <t>美式宽松卫衣</t>
        </is>
      </c>
      <c r="C14" s="7" t="inlineStr">
        <is>
          <t>男女同款</t>
        </is>
      </c>
      <c r="D14" s="7" t="inlineStr">
        <is>
          <t>东莞棉感制衣</t>
        </is>
      </c>
      <c r="E14" s="22" t="n">
        <v>50</v>
      </c>
      <c r="F14" s="22" t="n">
        <v>92</v>
      </c>
      <c r="G14" s="7" t="inlineStr">
        <is>
          <t>新品</t>
        </is>
      </c>
    </row>
    <row r="15">
      <c r="A15" s="7" t="inlineStr">
        <is>
          <t>FS-2412</t>
        </is>
      </c>
      <c r="B15" s="7" t="inlineStr">
        <is>
          <t>格纹百褶短裙</t>
        </is>
      </c>
      <c r="C15" s="7" t="inlineStr">
        <is>
          <t>女装</t>
        </is>
      </c>
      <c r="D15" s="7" t="inlineStr">
        <is>
          <t>杭州潮品厂</t>
        </is>
      </c>
      <c r="E15" s="22" t="n">
        <v>36</v>
      </c>
      <c r="F15" s="22" t="n">
        <v>70</v>
      </c>
      <c r="G15" s="7" t="inlineStr">
        <is>
          <t>新品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  <col width="12" customWidth="1" min="9" max="9"/>
  </cols>
  <sheetData>
    <row r="1" ht="30" customHeight="1">
      <c r="A1" s="3" t="inlineStr">
        <is>
          <t>采购明细 · 进货与供应商对账</t>
        </is>
      </c>
    </row>
    <row r="3">
      <c r="A3" s="17" t="inlineStr">
        <is>
          <t>采购单号</t>
        </is>
      </c>
      <c r="B3" s="17" t="inlineStr">
        <is>
          <t>款号</t>
        </is>
      </c>
      <c r="C3" s="17" t="inlineStr">
        <is>
          <t>供应商</t>
        </is>
      </c>
      <c r="D3" s="17" t="inlineStr">
        <is>
          <t>进货数量</t>
        </is>
      </c>
      <c r="E3" s="17" t="inlineStr">
        <is>
          <t>进货单价</t>
        </is>
      </c>
      <c r="F3" s="17" t="inlineStr">
        <is>
          <t>进货金额</t>
        </is>
      </c>
      <c r="G3" s="17" t="inlineStr">
        <is>
          <t>日期</t>
        </is>
      </c>
      <c r="H3" s="17" t="inlineStr">
        <is>
          <t>到货状态</t>
        </is>
      </c>
      <c r="I3" s="17" t="inlineStr">
        <is>
          <t>入库仓</t>
        </is>
      </c>
    </row>
    <row r="4">
      <c r="A4" s="7" t="inlineStr">
        <is>
          <t>PO-202607-001</t>
        </is>
      </c>
      <c r="B4" s="7" t="inlineStr">
        <is>
          <t>FS-2401</t>
        </is>
      </c>
      <c r="C4" s="7" t="inlineStr">
        <is>
          <t>广州优衣供应链</t>
        </is>
      </c>
      <c r="D4" s="7" t="n">
        <v>130</v>
      </c>
      <c r="E4" s="22" t="n">
        <v>45</v>
      </c>
      <c r="F4" s="22" t="n">
        <v>5850</v>
      </c>
      <c r="G4" s="21" t="n">
        <v>46205</v>
      </c>
      <c r="H4" s="7" t="inlineStr">
        <is>
          <t>已到货</t>
        </is>
      </c>
      <c r="I4" s="7" t="inlineStr">
        <is>
          <t>广州仓</t>
        </is>
      </c>
    </row>
    <row r="5">
      <c r="A5" s="7" t="inlineStr">
        <is>
          <t>PO-202607-002</t>
        </is>
      </c>
      <c r="B5" s="7" t="inlineStr">
        <is>
          <t>FS-2402</t>
        </is>
      </c>
      <c r="C5" s="7" t="inlineStr">
        <is>
          <t>杭州潮品厂</t>
        </is>
      </c>
      <c r="D5" s="7" t="n">
        <v>142</v>
      </c>
      <c r="E5" s="22" t="n">
        <v>38</v>
      </c>
      <c r="F5" s="22" t="n">
        <v>5396</v>
      </c>
      <c r="G5" s="21" t="n">
        <v>46206</v>
      </c>
      <c r="H5" s="7" t="inlineStr">
        <is>
          <t>已到货</t>
        </is>
      </c>
      <c r="I5" s="7" t="inlineStr">
        <is>
          <t>广州仓</t>
        </is>
      </c>
    </row>
    <row r="6">
      <c r="A6" s="7" t="inlineStr">
        <is>
          <t>PO-202607-003</t>
        </is>
      </c>
      <c r="B6" s="7" t="inlineStr">
        <is>
          <t>FS-2403</t>
        </is>
      </c>
      <c r="C6" s="7" t="inlineStr">
        <is>
          <t>东莞棉感制衣</t>
        </is>
      </c>
      <c r="D6" s="7" t="n">
        <v>154</v>
      </c>
      <c r="E6" s="22" t="n">
        <v>22</v>
      </c>
      <c r="F6" s="22" t="n">
        <v>3388</v>
      </c>
      <c r="G6" s="21" t="n">
        <v>46207</v>
      </c>
      <c r="H6" s="7" t="inlineStr">
        <is>
          <t>已到货</t>
        </is>
      </c>
      <c r="I6" s="7" t="inlineStr">
        <is>
          <t>广州仓</t>
        </is>
      </c>
    </row>
    <row r="7">
      <c r="A7" s="7" t="inlineStr">
        <is>
          <t>PO-202607-004</t>
        </is>
      </c>
      <c r="B7" s="7" t="inlineStr">
        <is>
          <t>FS-2404</t>
        </is>
      </c>
      <c r="C7" s="7" t="inlineStr">
        <is>
          <t>广州优衣供应链</t>
        </is>
      </c>
      <c r="D7" s="7" t="n">
        <v>166</v>
      </c>
      <c r="E7" s="22" t="n">
        <v>42</v>
      </c>
      <c r="F7" s="22" t="n">
        <v>6972</v>
      </c>
      <c r="G7" s="21" t="n">
        <v>46208</v>
      </c>
      <c r="H7" s="7" t="inlineStr">
        <is>
          <t>已到货</t>
        </is>
      </c>
      <c r="I7" s="7" t="inlineStr">
        <is>
          <t>广州仓</t>
        </is>
      </c>
    </row>
    <row r="8">
      <c r="A8" s="7" t="inlineStr">
        <is>
          <t>PO-202607-005</t>
        </is>
      </c>
      <c r="B8" s="7" t="inlineStr">
        <is>
          <t>FS-2405</t>
        </is>
      </c>
      <c r="C8" s="7" t="inlineStr">
        <is>
          <t>杭州潮品厂</t>
        </is>
      </c>
      <c r="D8" s="7" t="n">
        <v>178</v>
      </c>
      <c r="E8" s="22" t="n">
        <v>35</v>
      </c>
      <c r="F8" s="22" t="n">
        <v>6230</v>
      </c>
      <c r="G8" s="21" t="n">
        <v>46209</v>
      </c>
      <c r="H8" s="7" t="inlineStr">
        <is>
          <t>已到货</t>
        </is>
      </c>
      <c r="I8" s="7" t="inlineStr">
        <is>
          <t>广州仓</t>
        </is>
      </c>
    </row>
    <row r="9">
      <c r="A9" s="7" t="inlineStr">
        <is>
          <t>PO-202607-006</t>
        </is>
      </c>
      <c r="B9" s="7" t="inlineStr">
        <is>
          <t>FS-2406</t>
        </is>
      </c>
      <c r="C9" s="7" t="inlineStr">
        <is>
          <t>深圳潮男工坊</t>
        </is>
      </c>
      <c r="D9" s="7" t="n">
        <v>190</v>
      </c>
      <c r="E9" s="22" t="n">
        <v>39</v>
      </c>
      <c r="F9" s="22" t="n">
        <v>7410</v>
      </c>
      <c r="G9" s="21" t="n">
        <v>46210</v>
      </c>
      <c r="H9" s="7" t="inlineStr">
        <is>
          <t>已到货</t>
        </is>
      </c>
      <c r="I9" s="7" t="inlineStr">
        <is>
          <t>广州仓</t>
        </is>
      </c>
    </row>
    <row r="10">
      <c r="A10" s="7" t="inlineStr">
        <is>
          <t>PO-202607-007</t>
        </is>
      </c>
      <c r="B10" s="7" t="inlineStr">
        <is>
          <t>FS-2407</t>
        </is>
      </c>
      <c r="C10" s="7" t="inlineStr">
        <is>
          <t>东莞棉感制衣</t>
        </is>
      </c>
      <c r="D10" s="7" t="n">
        <v>202</v>
      </c>
      <c r="E10" s="22" t="n">
        <v>16</v>
      </c>
      <c r="F10" s="22" t="n">
        <v>3232</v>
      </c>
      <c r="G10" s="21" t="n">
        <v>46211</v>
      </c>
      <c r="H10" s="7" t="inlineStr">
        <is>
          <t>已到货</t>
        </is>
      </c>
      <c r="I10" s="7" t="inlineStr">
        <is>
          <t>广州仓</t>
        </is>
      </c>
    </row>
    <row r="11">
      <c r="A11" s="7" t="inlineStr">
        <is>
          <t>PO-202607-008</t>
        </is>
      </c>
      <c r="B11" s="7" t="inlineStr">
        <is>
          <t>FS-2408</t>
        </is>
      </c>
      <c r="C11" s="7" t="inlineStr">
        <is>
          <t>深圳潮男工坊</t>
        </is>
      </c>
      <c r="D11" s="7" t="n">
        <v>214</v>
      </c>
      <c r="E11" s="22" t="n">
        <v>28</v>
      </c>
      <c r="F11" s="22" t="n">
        <v>5992</v>
      </c>
      <c r="G11" s="21" t="n">
        <v>46212</v>
      </c>
      <c r="H11" s="7" t="inlineStr">
        <is>
          <t>已到货</t>
        </is>
      </c>
      <c r="I11" s="7" t="inlineStr">
        <is>
          <t>广州仓</t>
        </is>
      </c>
    </row>
    <row r="12">
      <c r="A12" s="7" t="inlineStr">
        <is>
          <t>PO-202607-009</t>
        </is>
      </c>
      <c r="B12" s="7" t="inlineStr">
        <is>
          <t>FS-2409</t>
        </is>
      </c>
      <c r="C12" s="7" t="inlineStr">
        <is>
          <t>杭州潮品厂</t>
        </is>
      </c>
      <c r="D12" s="7" t="n">
        <v>226</v>
      </c>
      <c r="E12" s="22" t="n">
        <v>45</v>
      </c>
      <c r="F12" s="22" t="n">
        <v>10170</v>
      </c>
      <c r="G12" s="21" t="n">
        <v>46213</v>
      </c>
      <c r="H12" s="7" t="inlineStr">
        <is>
          <t>已到货</t>
        </is>
      </c>
      <c r="I12" s="7" t="inlineStr">
        <is>
          <t>广州仓</t>
        </is>
      </c>
    </row>
    <row r="13">
      <c r="A13" s="7" t="inlineStr">
        <is>
          <t>PO-202607-010</t>
        </is>
      </c>
      <c r="B13" s="7" t="inlineStr">
        <is>
          <t>FS-2410</t>
        </is>
      </c>
      <c r="C13" s="7" t="inlineStr">
        <is>
          <t>广州优衣供应链</t>
        </is>
      </c>
      <c r="D13" s="7" t="n">
        <v>238</v>
      </c>
      <c r="E13" s="22" t="n">
        <v>32</v>
      </c>
      <c r="F13" s="22" t="n">
        <v>7616</v>
      </c>
      <c r="G13" s="21" t="n">
        <v>46214</v>
      </c>
      <c r="H13" s="7" t="inlineStr">
        <is>
          <t>已到货</t>
        </is>
      </c>
      <c r="I13" s="7" t="inlineStr">
        <is>
          <t>广州仓</t>
        </is>
      </c>
    </row>
    <row r="14">
      <c r="A14" s="7" t="inlineStr">
        <is>
          <t>PO-202607-011</t>
        </is>
      </c>
      <c r="B14" s="7" t="inlineStr">
        <is>
          <t>FS-2411</t>
        </is>
      </c>
      <c r="C14" s="7" t="inlineStr">
        <is>
          <t>东莞棉感制衣</t>
        </is>
      </c>
      <c r="D14" s="7" t="n">
        <v>250</v>
      </c>
      <c r="E14" s="22" t="n">
        <v>50</v>
      </c>
      <c r="F14" s="22" t="n">
        <v>12500</v>
      </c>
      <c r="G14" s="21" t="n">
        <v>46215</v>
      </c>
      <c r="H14" s="7" t="inlineStr">
        <is>
          <t>已到货</t>
        </is>
      </c>
      <c r="I14" s="7" t="inlineStr">
        <is>
          <t>广州仓</t>
        </is>
      </c>
    </row>
    <row r="15">
      <c r="A15" s="7" t="inlineStr">
        <is>
          <t>PO-202607-012</t>
        </is>
      </c>
      <c r="B15" s="7" t="inlineStr">
        <is>
          <t>FS-2412</t>
        </is>
      </c>
      <c r="C15" s="7" t="inlineStr">
        <is>
          <t>杭州潮品厂</t>
        </is>
      </c>
      <c r="D15" s="7" t="n">
        <v>262</v>
      </c>
      <c r="E15" s="22" t="n">
        <v>36</v>
      </c>
      <c r="F15" s="22" t="n">
        <v>9432</v>
      </c>
      <c r="G15" s="21" t="n">
        <v>46216</v>
      </c>
      <c r="H15" s="7" t="inlineStr">
        <is>
          <t>已到货</t>
        </is>
      </c>
      <c r="I15" s="7" t="inlineStr">
        <is>
          <t>广州仓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 ht="30" customHeight="1">
      <c r="A1" s="3" t="inlineStr">
        <is>
          <t>入库明细 · 仓库收货记录</t>
        </is>
      </c>
    </row>
    <row r="3">
      <c r="A3" s="17" t="inlineStr">
        <is>
          <t>入库单号</t>
        </is>
      </c>
      <c r="B3" s="17" t="inlineStr">
        <is>
          <t>采购单号</t>
        </is>
      </c>
      <c r="C3" s="17" t="inlineStr">
        <is>
          <t>款号</t>
        </is>
      </c>
      <c r="D3" s="17" t="inlineStr">
        <is>
          <t>入库数量</t>
        </is>
      </c>
      <c r="E3" s="17" t="inlineStr">
        <is>
          <t>仓库</t>
        </is>
      </c>
      <c r="F3" s="17" t="inlineStr">
        <is>
          <t>入库日期</t>
        </is>
      </c>
      <c r="G3" s="17" t="inlineStr">
        <is>
          <t>质检状态</t>
        </is>
      </c>
    </row>
    <row r="4">
      <c r="A4" s="7" t="inlineStr">
        <is>
          <t>IN-202607-001</t>
        </is>
      </c>
      <c r="B4" s="7" t="inlineStr">
        <is>
          <t>PO-202607-001</t>
        </is>
      </c>
      <c r="C4" s="7" t="inlineStr">
        <is>
          <t>FS-2401</t>
        </is>
      </c>
      <c r="D4" s="7" t="n">
        <v>130</v>
      </c>
      <c r="E4" s="7" t="inlineStr">
        <is>
          <t>广州仓</t>
        </is>
      </c>
      <c r="F4" s="21" t="n">
        <v>46206</v>
      </c>
      <c r="G4" s="7" t="inlineStr">
        <is>
          <t>质检通过</t>
        </is>
      </c>
    </row>
    <row r="5">
      <c r="A5" s="7" t="inlineStr">
        <is>
          <t>IN-202607-002</t>
        </is>
      </c>
      <c r="B5" s="7" t="inlineStr">
        <is>
          <t>PO-202607-002</t>
        </is>
      </c>
      <c r="C5" s="7" t="inlineStr">
        <is>
          <t>FS-2402</t>
        </is>
      </c>
      <c r="D5" s="7" t="n">
        <v>142</v>
      </c>
      <c r="E5" s="7" t="inlineStr">
        <is>
          <t>广州仓</t>
        </is>
      </c>
      <c r="F5" s="21" t="n">
        <v>46207</v>
      </c>
      <c r="G5" s="7" t="inlineStr">
        <is>
          <t>质检通过</t>
        </is>
      </c>
    </row>
    <row r="6">
      <c r="A6" s="7" t="inlineStr">
        <is>
          <t>IN-202607-003</t>
        </is>
      </c>
      <c r="B6" s="7" t="inlineStr">
        <is>
          <t>PO-202607-003</t>
        </is>
      </c>
      <c r="C6" s="7" t="inlineStr">
        <is>
          <t>FS-2403</t>
        </is>
      </c>
      <c r="D6" s="7" t="n">
        <v>154</v>
      </c>
      <c r="E6" s="7" t="inlineStr">
        <is>
          <t>广州仓</t>
        </is>
      </c>
      <c r="F6" s="21" t="n">
        <v>46208</v>
      </c>
      <c r="G6" s="7" t="inlineStr">
        <is>
          <t>质检通过</t>
        </is>
      </c>
    </row>
    <row r="7">
      <c r="A7" s="7" t="inlineStr">
        <is>
          <t>IN-202607-004</t>
        </is>
      </c>
      <c r="B7" s="7" t="inlineStr">
        <is>
          <t>PO-202607-004</t>
        </is>
      </c>
      <c r="C7" s="7" t="inlineStr">
        <is>
          <t>FS-2404</t>
        </is>
      </c>
      <c r="D7" s="7" t="n">
        <v>166</v>
      </c>
      <c r="E7" s="7" t="inlineStr">
        <is>
          <t>广州仓</t>
        </is>
      </c>
      <c r="F7" s="21" t="n">
        <v>46209</v>
      </c>
      <c r="G7" s="7" t="inlineStr">
        <is>
          <t>质检通过</t>
        </is>
      </c>
    </row>
    <row r="8">
      <c r="A8" s="7" t="inlineStr">
        <is>
          <t>IN-202607-005</t>
        </is>
      </c>
      <c r="B8" s="7" t="inlineStr">
        <is>
          <t>PO-202607-005</t>
        </is>
      </c>
      <c r="C8" s="7" t="inlineStr">
        <is>
          <t>FS-2405</t>
        </is>
      </c>
      <c r="D8" s="7" t="n">
        <v>178</v>
      </c>
      <c r="E8" s="7" t="inlineStr">
        <is>
          <t>广州仓</t>
        </is>
      </c>
      <c r="F8" s="21" t="n">
        <v>46210</v>
      </c>
      <c r="G8" s="7" t="inlineStr">
        <is>
          <t>质检通过</t>
        </is>
      </c>
    </row>
    <row r="9">
      <c r="A9" s="7" t="inlineStr">
        <is>
          <t>IN-202607-006</t>
        </is>
      </c>
      <c r="B9" s="7" t="inlineStr">
        <is>
          <t>PO-202607-006</t>
        </is>
      </c>
      <c r="C9" s="7" t="inlineStr">
        <is>
          <t>FS-2406</t>
        </is>
      </c>
      <c r="D9" s="7" t="n">
        <v>190</v>
      </c>
      <c r="E9" s="7" t="inlineStr">
        <is>
          <t>广州仓</t>
        </is>
      </c>
      <c r="F9" s="21" t="n">
        <v>46211</v>
      </c>
      <c r="G9" s="7" t="inlineStr">
        <is>
          <t>质检通过</t>
        </is>
      </c>
    </row>
    <row r="10">
      <c r="A10" s="7" t="inlineStr">
        <is>
          <t>IN-202607-007</t>
        </is>
      </c>
      <c r="B10" s="7" t="inlineStr">
        <is>
          <t>PO-202607-007</t>
        </is>
      </c>
      <c r="C10" s="7" t="inlineStr">
        <is>
          <t>FS-2407</t>
        </is>
      </c>
      <c r="D10" s="7" t="n">
        <v>202</v>
      </c>
      <c r="E10" s="7" t="inlineStr">
        <is>
          <t>广州仓</t>
        </is>
      </c>
      <c r="F10" s="21" t="n">
        <v>46212</v>
      </c>
      <c r="G10" s="7" t="inlineStr">
        <is>
          <t>质检通过</t>
        </is>
      </c>
    </row>
    <row r="11">
      <c r="A11" s="7" t="inlineStr">
        <is>
          <t>IN-202607-008</t>
        </is>
      </c>
      <c r="B11" s="7" t="inlineStr">
        <is>
          <t>PO-202607-008</t>
        </is>
      </c>
      <c r="C11" s="7" t="inlineStr">
        <is>
          <t>FS-2408</t>
        </is>
      </c>
      <c r="D11" s="7" t="n">
        <v>214</v>
      </c>
      <c r="E11" s="7" t="inlineStr">
        <is>
          <t>广州仓</t>
        </is>
      </c>
      <c r="F11" s="21" t="n">
        <v>46213</v>
      </c>
      <c r="G11" s="7" t="inlineStr">
        <is>
          <t>质检通过</t>
        </is>
      </c>
    </row>
    <row r="12">
      <c r="A12" s="7" t="inlineStr">
        <is>
          <t>IN-202607-009</t>
        </is>
      </c>
      <c r="B12" s="7" t="inlineStr">
        <is>
          <t>PO-202607-009</t>
        </is>
      </c>
      <c r="C12" s="7" t="inlineStr">
        <is>
          <t>FS-2409</t>
        </is>
      </c>
      <c r="D12" s="7" t="n">
        <v>226</v>
      </c>
      <c r="E12" s="7" t="inlineStr">
        <is>
          <t>广州仓</t>
        </is>
      </c>
      <c r="F12" s="21" t="n">
        <v>46214</v>
      </c>
      <c r="G12" s="7" t="inlineStr">
        <is>
          <t>质检通过</t>
        </is>
      </c>
    </row>
    <row r="13">
      <c r="A13" s="7" t="inlineStr">
        <is>
          <t>IN-202607-010</t>
        </is>
      </c>
      <c r="B13" s="7" t="inlineStr">
        <is>
          <t>PO-202607-010</t>
        </is>
      </c>
      <c r="C13" s="7" t="inlineStr">
        <is>
          <t>FS-2410</t>
        </is>
      </c>
      <c r="D13" s="7" t="n">
        <v>238</v>
      </c>
      <c r="E13" s="7" t="inlineStr">
        <is>
          <t>广州仓</t>
        </is>
      </c>
      <c r="F13" s="21" t="n">
        <v>46215</v>
      </c>
      <c r="G13" s="7" t="inlineStr">
        <is>
          <t>质检通过</t>
        </is>
      </c>
    </row>
    <row r="14">
      <c r="A14" s="7" t="inlineStr">
        <is>
          <t>IN-202607-011</t>
        </is>
      </c>
      <c r="B14" s="7" t="inlineStr">
        <is>
          <t>PO-202607-011</t>
        </is>
      </c>
      <c r="C14" s="7" t="inlineStr">
        <is>
          <t>FS-2411</t>
        </is>
      </c>
      <c r="D14" s="7" t="n">
        <v>250</v>
      </c>
      <c r="E14" s="7" t="inlineStr">
        <is>
          <t>广州仓</t>
        </is>
      </c>
      <c r="F14" s="21" t="n">
        <v>46216</v>
      </c>
      <c r="G14" s="7" t="inlineStr">
        <is>
          <t>质检通过</t>
        </is>
      </c>
    </row>
    <row r="15">
      <c r="A15" s="7" t="inlineStr">
        <is>
          <t>IN-202607-012</t>
        </is>
      </c>
      <c r="B15" s="7" t="inlineStr">
        <is>
          <t>PO-202607-012</t>
        </is>
      </c>
      <c r="C15" s="7" t="inlineStr">
        <is>
          <t>FS-2412</t>
        </is>
      </c>
      <c r="D15" s="7" t="n">
        <v>262</v>
      </c>
      <c r="E15" s="7" t="inlineStr">
        <is>
          <t>广州仓</t>
        </is>
      </c>
      <c r="F15" s="21" t="n">
        <v>46217</v>
      </c>
      <c r="G15" s="7" t="inlineStr">
        <is>
          <t>质检通过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26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3" customWidth="1" min="14" max="14"/>
  </cols>
  <sheetData>
    <row r="1" ht="30" customHeight="1">
      <c r="A1" s="3" t="inlineStr">
        <is>
          <t>销售订单 · 渠道与客户销售明细</t>
        </is>
      </c>
    </row>
    <row r="3">
      <c r="A3" s="17" t="inlineStr">
        <is>
          <t>订单号</t>
        </is>
      </c>
      <c r="B3" s="17" t="inlineStr">
        <is>
          <t>订单日期</t>
        </is>
      </c>
      <c r="C3" s="17" t="inlineStr">
        <is>
          <t>客户编号</t>
        </is>
      </c>
      <c r="D3" s="17" t="inlineStr">
        <is>
          <t>客户名称</t>
        </is>
      </c>
      <c r="E3" s="17" t="inlineStr">
        <is>
          <t>款号</t>
        </is>
      </c>
      <c r="F3" s="17" t="inlineStr">
        <is>
          <t>商品名称</t>
        </is>
      </c>
      <c r="G3" s="17" t="inlineStr">
        <is>
          <t>销售数量</t>
        </is>
      </c>
      <c r="H3" s="17" t="inlineStr">
        <is>
          <t>批发单价</t>
        </is>
      </c>
      <c r="I3" s="17" t="inlineStr">
        <is>
          <t>折扣率</t>
        </is>
      </c>
      <c r="J3" s="17" t="inlineStr">
        <is>
          <t>优惠金额</t>
        </is>
      </c>
      <c r="K3" s="17" t="inlineStr">
        <is>
          <t>运费</t>
        </is>
      </c>
      <c r="L3" s="17" t="inlineStr">
        <is>
          <t>实收金额</t>
        </is>
      </c>
      <c r="M3" s="17" t="inlineStr">
        <is>
          <t>订单状态</t>
        </is>
      </c>
      <c r="N3" s="17" t="inlineStr">
        <is>
          <t>销售渠道</t>
        </is>
      </c>
    </row>
    <row r="4">
      <c r="A4" s="7" t="inlineStr">
        <is>
          <t>SO-202607-0001</t>
        </is>
      </c>
      <c r="B4" s="21" t="n">
        <v>46218</v>
      </c>
      <c r="C4" s="7" t="inlineStr">
        <is>
          <t>CUS-008</t>
        </is>
      </c>
      <c r="D4" s="7" t="inlineStr">
        <is>
          <t>上海线上分销商</t>
        </is>
      </c>
      <c r="E4" s="7" t="inlineStr">
        <is>
          <t>FS-2410</t>
        </is>
      </c>
      <c r="F4" s="7" t="inlineStr">
        <is>
          <t>轻薄防晒衬衣</t>
        </is>
      </c>
      <c r="G4" s="7" t="n">
        <v>5</v>
      </c>
      <c r="H4" s="22" t="n">
        <v>57</v>
      </c>
      <c r="I4" s="7" t="n">
        <v>0.06</v>
      </c>
      <c r="J4" s="22" t="n">
        <v>17.1</v>
      </c>
      <c r="K4" s="22" t="n">
        <v>12</v>
      </c>
      <c r="L4" s="22" t="n">
        <v>279.9</v>
      </c>
      <c r="M4" s="7" t="inlineStr">
        <is>
          <t>已完成</t>
        </is>
      </c>
      <c r="N4" s="7" t="inlineStr">
        <is>
          <t>微信私域</t>
        </is>
      </c>
    </row>
    <row r="5">
      <c r="A5" s="7" t="inlineStr">
        <is>
          <t>SO-202607-0002</t>
        </is>
      </c>
      <c r="B5" s="21" t="n">
        <v>46218</v>
      </c>
      <c r="C5" s="7" t="inlineStr">
        <is>
          <t>CUS-001</t>
        </is>
      </c>
      <c r="D5" s="7" t="inlineStr">
        <is>
          <t>广州白马服饰店</t>
        </is>
      </c>
      <c r="E5" s="7" t="inlineStr">
        <is>
          <t>FS-2403</t>
        </is>
      </c>
      <c r="F5" s="7" t="inlineStr">
        <is>
          <t>宽松纯棉印花T恤</t>
        </is>
      </c>
      <c r="G5" s="7" t="n">
        <v>6</v>
      </c>
      <c r="H5" s="22" t="n">
        <v>37</v>
      </c>
      <c r="I5" s="7" t="n">
        <v>0.06</v>
      </c>
      <c r="J5" s="22" t="n">
        <v>13.32</v>
      </c>
      <c r="K5" s="22" t="n">
        <v>12</v>
      </c>
      <c r="L5" s="22" t="n">
        <v>220.68</v>
      </c>
      <c r="M5" s="7" t="inlineStr">
        <is>
          <t>已完成</t>
        </is>
      </c>
      <c r="N5" s="7" t="inlineStr">
        <is>
          <t>微信私域</t>
        </is>
      </c>
    </row>
    <row r="6">
      <c r="A6" s="7" t="inlineStr">
        <is>
          <t>SO-202607-0003</t>
        </is>
      </c>
      <c r="B6" s="21" t="n">
        <v>46218</v>
      </c>
      <c r="C6" s="7" t="inlineStr">
        <is>
          <t>CUS-002</t>
        </is>
      </c>
      <c r="D6" s="7" t="inlineStr">
        <is>
          <t>杭州女装集合店</t>
        </is>
      </c>
      <c r="E6" s="7" t="inlineStr">
        <is>
          <t>FS-2408</t>
        </is>
      </c>
      <c r="F6" s="7" t="inlineStr">
        <is>
          <t>运动速干短裤</t>
        </is>
      </c>
      <c r="G6" s="7" t="n">
        <v>7</v>
      </c>
      <c r="H6" s="22" t="n">
        <v>51</v>
      </c>
      <c r="I6" s="7" t="n">
        <v>0.06</v>
      </c>
      <c r="J6" s="22" t="n">
        <v>21.42</v>
      </c>
      <c r="K6" s="22" t="n">
        <v>12</v>
      </c>
      <c r="L6" s="22" t="n">
        <v>347.58</v>
      </c>
      <c r="M6" s="7" t="inlineStr">
        <is>
          <t>已完成</t>
        </is>
      </c>
      <c r="N6" s="7" t="inlineStr">
        <is>
          <t>线下档口</t>
        </is>
      </c>
    </row>
    <row r="7">
      <c r="A7" s="7" t="inlineStr">
        <is>
          <t>SO-202607-0004</t>
        </is>
      </c>
      <c r="B7" s="21" t="n">
        <v>46218</v>
      </c>
      <c r="C7" s="7" t="inlineStr">
        <is>
          <t>CUS-003</t>
        </is>
      </c>
      <c r="D7" s="7" t="inlineStr">
        <is>
          <t>成都潮流买手店</t>
        </is>
      </c>
      <c r="E7" s="7" t="inlineStr">
        <is>
          <t>FS-2401</t>
        </is>
      </c>
      <c r="F7" s="7" t="inlineStr">
        <is>
          <t>复古水洗直筒牛仔裤</t>
        </is>
      </c>
      <c r="G7" s="7" t="n">
        <v>8</v>
      </c>
      <c r="H7" s="22" t="n">
        <v>85</v>
      </c>
      <c r="I7" s="7" t="n">
        <v>0.03</v>
      </c>
      <c r="J7" s="22" t="n">
        <v>20.4</v>
      </c>
      <c r="K7" s="22" t="n">
        <v>12</v>
      </c>
      <c r="L7" s="22" t="n">
        <v>671.6</v>
      </c>
      <c r="M7" s="7" t="inlineStr">
        <is>
          <t>已完成</t>
        </is>
      </c>
      <c r="N7" s="7" t="inlineStr">
        <is>
          <t>微信私域</t>
        </is>
      </c>
    </row>
    <row r="8">
      <c r="A8" s="7" t="inlineStr">
        <is>
          <t>SO-202607-0005</t>
        </is>
      </c>
      <c r="B8" s="21" t="n">
        <v>46219</v>
      </c>
      <c r="C8" s="7" t="inlineStr">
        <is>
          <t>CUS-001</t>
        </is>
      </c>
      <c r="D8" s="7" t="inlineStr">
        <is>
          <t>广州白马服饰店</t>
        </is>
      </c>
      <c r="E8" s="7" t="inlineStr">
        <is>
          <t>FS-2401</t>
        </is>
      </c>
      <c r="F8" s="7" t="inlineStr">
        <is>
          <t>复古水洗直筒牛仔裤</t>
        </is>
      </c>
      <c r="G8" s="7" t="n">
        <v>6</v>
      </c>
      <c r="H8" s="22" t="n">
        <v>81</v>
      </c>
      <c r="I8" s="7" t="n">
        <v>0.06</v>
      </c>
      <c r="J8" s="22" t="n">
        <v>29.16</v>
      </c>
      <c r="K8" s="22" t="n">
        <v>12</v>
      </c>
      <c r="L8" s="22" t="n">
        <v>468.84</v>
      </c>
      <c r="M8" s="7" t="inlineStr">
        <is>
          <t>已完成</t>
        </is>
      </c>
      <c r="N8" s="7" t="inlineStr">
        <is>
          <t>微信私域</t>
        </is>
      </c>
    </row>
    <row r="9">
      <c r="A9" s="7" t="inlineStr">
        <is>
          <t>SO-202607-0006</t>
        </is>
      </c>
      <c r="B9" s="21" t="n">
        <v>46219</v>
      </c>
      <c r="C9" s="7" t="inlineStr">
        <is>
          <t>CUS-002</t>
        </is>
      </c>
      <c r="D9" s="7" t="inlineStr">
        <is>
          <t>杭州女装集合店</t>
        </is>
      </c>
      <c r="E9" s="7" t="inlineStr">
        <is>
          <t>FS-2406</t>
        </is>
      </c>
      <c r="F9" s="7" t="inlineStr">
        <is>
          <t>港风短袖衬衫</t>
        </is>
      </c>
      <c r="G9" s="7" t="n">
        <v>7</v>
      </c>
      <c r="H9" s="22" t="n">
        <v>64</v>
      </c>
      <c r="I9" s="7" t="n">
        <v>0.06</v>
      </c>
      <c r="J9" s="22" t="n">
        <v>26.88</v>
      </c>
      <c r="K9" s="22" t="n">
        <v>12</v>
      </c>
      <c r="L9" s="22" t="n">
        <v>433.12</v>
      </c>
      <c r="M9" s="7" t="inlineStr">
        <is>
          <t>已完成</t>
        </is>
      </c>
      <c r="N9" s="7" t="inlineStr">
        <is>
          <t>线下档口</t>
        </is>
      </c>
    </row>
    <row r="10">
      <c r="A10" s="7" t="inlineStr">
        <is>
          <t>SO-202607-0007</t>
        </is>
      </c>
      <c r="B10" s="21" t="n">
        <v>46219</v>
      </c>
      <c r="C10" s="7" t="inlineStr">
        <is>
          <t>CUS-003</t>
        </is>
      </c>
      <c r="D10" s="7" t="inlineStr">
        <is>
          <t>成都潮流买手店</t>
        </is>
      </c>
      <c r="E10" s="7" t="inlineStr">
        <is>
          <t>FS-2411</t>
        </is>
      </c>
      <c r="F10" s="7" t="inlineStr">
        <is>
          <t>美式宽松卫衣</t>
        </is>
      </c>
      <c r="G10" s="7" t="n">
        <v>8</v>
      </c>
      <c r="H10" s="22" t="n">
        <v>88</v>
      </c>
      <c r="I10" s="7" t="n">
        <v>0.03</v>
      </c>
      <c r="J10" s="22" t="n">
        <v>21.12</v>
      </c>
      <c r="K10" s="22" t="n">
        <v>12</v>
      </c>
      <c r="L10" s="22" t="n">
        <v>694.88</v>
      </c>
      <c r="M10" s="7" t="inlineStr">
        <is>
          <t>已完成</t>
        </is>
      </c>
      <c r="N10" s="7" t="inlineStr">
        <is>
          <t>抖音店铺</t>
        </is>
      </c>
    </row>
    <row r="11">
      <c r="A11" s="7" t="inlineStr">
        <is>
          <t>SO-202607-0008</t>
        </is>
      </c>
      <c r="B11" s="21" t="n">
        <v>46219</v>
      </c>
      <c r="C11" s="7" t="inlineStr">
        <is>
          <t>CUS-004</t>
        </is>
      </c>
      <c r="D11" s="7" t="inlineStr">
        <is>
          <t>武汉汉正街档口</t>
        </is>
      </c>
      <c r="E11" s="7" t="inlineStr">
        <is>
          <t>FS-2404</t>
        </is>
      </c>
      <c r="F11" s="7" t="inlineStr">
        <is>
          <t>高腰阔腿西装裤</t>
        </is>
      </c>
      <c r="G11" s="7" t="n">
        <v>9</v>
      </c>
      <c r="H11" s="22" t="n">
        <v>70</v>
      </c>
      <c r="I11" s="7" t="n">
        <v>0.06</v>
      </c>
      <c r="J11" s="22" t="n">
        <v>37.8</v>
      </c>
      <c r="K11" s="22" t="n">
        <v>12</v>
      </c>
      <c r="L11" s="22" t="n">
        <v>604.2</v>
      </c>
      <c r="M11" s="7" t="inlineStr">
        <is>
          <t>已完成</t>
        </is>
      </c>
      <c r="N11" s="7" t="inlineStr">
        <is>
          <t>微信私域</t>
        </is>
      </c>
    </row>
    <row r="12">
      <c r="A12" s="7" t="inlineStr">
        <is>
          <t>SO-202607-0009</t>
        </is>
      </c>
      <c r="B12" s="21" t="n">
        <v>46220</v>
      </c>
      <c r="C12" s="7" t="inlineStr">
        <is>
          <t>CUS-002</t>
        </is>
      </c>
      <c r="D12" s="7" t="inlineStr">
        <is>
          <t>杭州女装集合店</t>
        </is>
      </c>
      <c r="E12" s="7" t="inlineStr">
        <is>
          <t>FS-2404</t>
        </is>
      </c>
      <c r="F12" s="7" t="inlineStr">
        <is>
          <t>高腰阔腿西装裤</t>
        </is>
      </c>
      <c r="G12" s="7" t="n">
        <v>7</v>
      </c>
      <c r="H12" s="22" t="n">
        <v>70</v>
      </c>
      <c r="I12" s="7" t="n">
        <v>0.06</v>
      </c>
      <c r="J12" s="22" t="n">
        <v>29.4</v>
      </c>
      <c r="K12" s="22" t="n">
        <v>12</v>
      </c>
      <c r="L12" s="22" t="n">
        <v>472.6</v>
      </c>
      <c r="M12" s="7" t="inlineStr">
        <is>
          <t>待发货</t>
        </is>
      </c>
      <c r="N12" s="7" t="inlineStr">
        <is>
          <t>线下档口</t>
        </is>
      </c>
    </row>
    <row r="13">
      <c r="A13" s="7" t="inlineStr">
        <is>
          <t>SO-202607-0010</t>
        </is>
      </c>
      <c r="B13" s="21" t="n">
        <v>46220</v>
      </c>
      <c r="C13" s="7" t="inlineStr">
        <is>
          <t>CUS-003</t>
        </is>
      </c>
      <c r="D13" s="7" t="inlineStr">
        <is>
          <t>成都潮流买手店</t>
        </is>
      </c>
      <c r="E13" s="7" t="inlineStr">
        <is>
          <t>FS-2409</t>
        </is>
      </c>
      <c r="F13" s="7" t="inlineStr">
        <is>
          <t>垂感醋酸半身裙</t>
        </is>
      </c>
      <c r="G13" s="7" t="n">
        <v>8</v>
      </c>
      <c r="H13" s="22" t="n">
        <v>81</v>
      </c>
      <c r="I13" s="7" t="n">
        <v>0.03</v>
      </c>
      <c r="J13" s="22" t="n">
        <v>19.44</v>
      </c>
      <c r="K13" s="22" t="n">
        <v>12</v>
      </c>
      <c r="L13" s="22" t="n">
        <v>640.5599999999999</v>
      </c>
      <c r="M13" s="7" t="inlineStr">
        <is>
          <t>已完成</t>
        </is>
      </c>
      <c r="N13" s="7" t="inlineStr">
        <is>
          <t>微信私域</t>
        </is>
      </c>
    </row>
    <row r="14">
      <c r="A14" s="7" t="inlineStr">
        <is>
          <t>SO-202607-0011</t>
        </is>
      </c>
      <c r="B14" s="21" t="n">
        <v>46220</v>
      </c>
      <c r="C14" s="7" t="inlineStr">
        <is>
          <t>CUS-004</t>
        </is>
      </c>
      <c r="D14" s="7" t="inlineStr">
        <is>
          <t>武汉汉正街档口</t>
        </is>
      </c>
      <c r="E14" s="7" t="inlineStr">
        <is>
          <t>FS-2402</t>
        </is>
      </c>
      <c r="F14" s="7" t="inlineStr">
        <is>
          <t>法式方领碎花连衣裙</t>
        </is>
      </c>
      <c r="G14" s="7" t="n">
        <v>9</v>
      </c>
      <c r="H14" s="22" t="n">
        <v>68</v>
      </c>
      <c r="I14" s="7" t="n">
        <v>0.06</v>
      </c>
      <c r="J14" s="22" t="n">
        <v>36.72</v>
      </c>
      <c r="K14" s="22" t="n">
        <v>12</v>
      </c>
      <c r="L14" s="22" t="n">
        <v>587.28</v>
      </c>
      <c r="M14" s="7" t="inlineStr">
        <is>
          <t>已完成</t>
        </is>
      </c>
      <c r="N14" s="7" t="inlineStr">
        <is>
          <t>微信私域</t>
        </is>
      </c>
    </row>
    <row r="15">
      <c r="A15" s="7" t="inlineStr">
        <is>
          <t>SO-202607-0012</t>
        </is>
      </c>
      <c r="B15" s="21" t="n">
        <v>46220</v>
      </c>
      <c r="C15" s="7" t="inlineStr">
        <is>
          <t>CUS-005</t>
        </is>
      </c>
      <c r="D15" s="7" t="inlineStr">
        <is>
          <t>长沙衣橱直播间</t>
        </is>
      </c>
      <c r="E15" s="7" t="inlineStr">
        <is>
          <t>FS-2407</t>
        </is>
      </c>
      <c r="F15" s="7" t="inlineStr">
        <is>
          <t>基础百搭背心</t>
        </is>
      </c>
      <c r="G15" s="7" t="n">
        <v>10</v>
      </c>
      <c r="H15" s="22" t="n">
        <v>31</v>
      </c>
      <c r="I15" s="7" t="n">
        <v>0.03</v>
      </c>
      <c r="J15" s="22" t="n">
        <v>9.299999999999999</v>
      </c>
      <c r="K15" s="22" t="n">
        <v>12</v>
      </c>
      <c r="L15" s="22" t="n">
        <v>312.7</v>
      </c>
      <c r="M15" s="7" t="inlineStr">
        <is>
          <t>已完成</t>
        </is>
      </c>
      <c r="N15" s="7" t="inlineStr">
        <is>
          <t>线下档口</t>
        </is>
      </c>
    </row>
    <row r="16">
      <c r="A16" s="7" t="inlineStr">
        <is>
          <t>SO-202607-0013</t>
        </is>
      </c>
      <c r="B16" s="21" t="n">
        <v>46221</v>
      </c>
      <c r="C16" s="7" t="inlineStr">
        <is>
          <t>CUS-003</t>
        </is>
      </c>
      <c r="D16" s="7" t="inlineStr">
        <is>
          <t>成都潮流买手店</t>
        </is>
      </c>
      <c r="E16" s="7" t="inlineStr">
        <is>
          <t>FS-2407</t>
        </is>
      </c>
      <c r="F16" s="7" t="inlineStr">
        <is>
          <t>基础百搭背心</t>
        </is>
      </c>
      <c r="G16" s="7" t="n">
        <v>8</v>
      </c>
      <c r="H16" s="22" t="n">
        <v>31</v>
      </c>
      <c r="I16" s="7" t="n">
        <v>0.03</v>
      </c>
      <c r="J16" s="22" t="n">
        <v>7.44</v>
      </c>
      <c r="K16" s="22" t="n">
        <v>12</v>
      </c>
      <c r="L16" s="22" t="n">
        <v>252.56</v>
      </c>
      <c r="M16" s="7" t="inlineStr">
        <is>
          <t>已完成</t>
        </is>
      </c>
      <c r="N16" s="7" t="inlineStr">
        <is>
          <t>微信私域</t>
        </is>
      </c>
    </row>
    <row r="17">
      <c r="A17" s="7" t="inlineStr">
        <is>
          <t>SO-202607-0014</t>
        </is>
      </c>
      <c r="B17" s="21" t="n">
        <v>46221</v>
      </c>
      <c r="C17" s="7" t="inlineStr">
        <is>
          <t>CUS-004</t>
        </is>
      </c>
      <c r="D17" s="7" t="inlineStr">
        <is>
          <t>武汉汉正街档口</t>
        </is>
      </c>
      <c r="E17" s="7" t="inlineStr">
        <is>
          <t>FS-2412</t>
        </is>
      </c>
      <c r="F17" s="7" t="inlineStr">
        <is>
          <t>格纹百褶短裙</t>
        </is>
      </c>
      <c r="G17" s="7" t="n">
        <v>9</v>
      </c>
      <c r="H17" s="22" t="n">
        <v>62</v>
      </c>
      <c r="I17" s="7" t="n">
        <v>0.06</v>
      </c>
      <c r="J17" s="22" t="n">
        <v>33.48</v>
      </c>
      <c r="K17" s="22" t="n">
        <v>12</v>
      </c>
      <c r="L17" s="22" t="n">
        <v>536.52</v>
      </c>
      <c r="M17" s="7" t="inlineStr">
        <is>
          <t>已完成</t>
        </is>
      </c>
      <c r="N17" s="7" t="inlineStr">
        <is>
          <t>抖音店铺</t>
        </is>
      </c>
    </row>
    <row r="18">
      <c r="A18" s="7" t="inlineStr">
        <is>
          <t>SO-202607-0015</t>
        </is>
      </c>
      <c r="B18" s="21" t="n">
        <v>46221</v>
      </c>
      <c r="C18" s="7" t="inlineStr">
        <is>
          <t>CUS-005</t>
        </is>
      </c>
      <c r="D18" s="7" t="inlineStr">
        <is>
          <t>长沙衣橱直播间</t>
        </is>
      </c>
      <c r="E18" s="7" t="inlineStr">
        <is>
          <t>FS-2405</t>
        </is>
      </c>
      <c r="F18" s="7" t="inlineStr">
        <is>
          <t>冰丝针织开衫</t>
        </is>
      </c>
      <c r="G18" s="7" t="n">
        <v>10</v>
      </c>
      <c r="H18" s="22" t="n">
        <v>65</v>
      </c>
      <c r="I18" s="7" t="n">
        <v>0.03</v>
      </c>
      <c r="J18" s="22" t="n">
        <v>19.5</v>
      </c>
      <c r="K18" s="22" t="n">
        <v>12</v>
      </c>
      <c r="L18" s="22" t="n">
        <v>642.5</v>
      </c>
      <c r="M18" s="7" t="inlineStr">
        <is>
          <t>已完成</t>
        </is>
      </c>
      <c r="N18" s="7" t="inlineStr">
        <is>
          <t>线下档口</t>
        </is>
      </c>
    </row>
    <row r="19">
      <c r="A19" s="7" t="inlineStr">
        <is>
          <t>SO-202607-0016</t>
        </is>
      </c>
      <c r="B19" s="21" t="n">
        <v>46221</v>
      </c>
      <c r="C19" s="7" t="inlineStr">
        <is>
          <t>CUS-006</t>
        </is>
      </c>
      <c r="D19" s="7" t="inlineStr">
        <is>
          <t>义乌小商品城店</t>
        </is>
      </c>
      <c r="E19" s="7" t="inlineStr">
        <is>
          <t>FS-2410</t>
        </is>
      </c>
      <c r="F19" s="7" t="inlineStr">
        <is>
          <t>轻薄防晒衬衣</t>
        </is>
      </c>
      <c r="G19" s="7" t="n">
        <v>11</v>
      </c>
      <c r="H19" s="22" t="n">
        <v>61</v>
      </c>
      <c r="I19" s="7" t="n">
        <v>0.03</v>
      </c>
      <c r="J19" s="22" t="n">
        <v>20.13</v>
      </c>
      <c r="K19" s="22" t="n">
        <v>12</v>
      </c>
      <c r="L19" s="22" t="n">
        <v>662.87</v>
      </c>
      <c r="M19" s="7" t="inlineStr">
        <is>
          <t>已完成</t>
        </is>
      </c>
      <c r="N19" s="7" t="inlineStr">
        <is>
          <t>微信私域</t>
        </is>
      </c>
    </row>
    <row r="20">
      <c r="A20" s="7" t="inlineStr">
        <is>
          <t>SO-202607-0017</t>
        </is>
      </c>
      <c r="B20" s="21" t="n">
        <v>46222</v>
      </c>
      <c r="C20" s="7" t="inlineStr">
        <is>
          <t>CUS-004</t>
        </is>
      </c>
      <c r="D20" s="7" t="inlineStr">
        <is>
          <t>武汉汉正街档口</t>
        </is>
      </c>
      <c r="E20" s="7" t="inlineStr">
        <is>
          <t>FS-2410</t>
        </is>
      </c>
      <c r="F20" s="7" t="inlineStr">
        <is>
          <t>轻薄防晒衬衣</t>
        </is>
      </c>
      <c r="G20" s="7" t="n">
        <v>9</v>
      </c>
      <c r="H20" s="22" t="n">
        <v>57</v>
      </c>
      <c r="I20" s="7" t="n">
        <v>0.06</v>
      </c>
      <c r="J20" s="22" t="n">
        <v>30.78</v>
      </c>
      <c r="K20" s="22" t="n">
        <v>12</v>
      </c>
      <c r="L20" s="22" t="n">
        <v>494.22</v>
      </c>
      <c r="M20" s="7" t="inlineStr">
        <is>
          <t>已完成</t>
        </is>
      </c>
      <c r="N20" s="7" t="inlineStr">
        <is>
          <t>微信私域</t>
        </is>
      </c>
    </row>
    <row r="21">
      <c r="A21" s="7" t="inlineStr">
        <is>
          <t>SO-202607-0018</t>
        </is>
      </c>
      <c r="B21" s="21" t="n">
        <v>46222</v>
      </c>
      <c r="C21" s="7" t="inlineStr">
        <is>
          <t>CUS-005</t>
        </is>
      </c>
      <c r="D21" s="7" t="inlineStr">
        <is>
          <t>长沙衣橱直播间</t>
        </is>
      </c>
      <c r="E21" s="7" t="inlineStr">
        <is>
          <t>FS-2403</t>
        </is>
      </c>
      <c r="F21" s="7" t="inlineStr">
        <is>
          <t>宽松纯棉印花T恤</t>
        </is>
      </c>
      <c r="G21" s="7" t="n">
        <v>10</v>
      </c>
      <c r="H21" s="22" t="n">
        <v>41</v>
      </c>
      <c r="I21" s="7" t="n">
        <v>0.03</v>
      </c>
      <c r="J21" s="22" t="n">
        <v>12.3</v>
      </c>
      <c r="K21" s="22" t="n">
        <v>12</v>
      </c>
      <c r="L21" s="22" t="n">
        <v>409.7</v>
      </c>
      <c r="M21" s="7" t="inlineStr">
        <is>
          <t>待发货</t>
        </is>
      </c>
      <c r="N21" s="7" t="inlineStr">
        <is>
          <t>线下档口</t>
        </is>
      </c>
    </row>
    <row r="22">
      <c r="A22" s="7" t="inlineStr">
        <is>
          <t>SO-202607-0019</t>
        </is>
      </c>
      <c r="B22" s="21" t="n">
        <v>46222</v>
      </c>
      <c r="C22" s="7" t="inlineStr">
        <is>
          <t>CUS-006</t>
        </is>
      </c>
      <c r="D22" s="7" t="inlineStr">
        <is>
          <t>义乌小商品城店</t>
        </is>
      </c>
      <c r="E22" s="7" t="inlineStr">
        <is>
          <t>FS-2408</t>
        </is>
      </c>
      <c r="F22" s="7" t="inlineStr">
        <is>
          <t>运动速干短裤</t>
        </is>
      </c>
      <c r="G22" s="7" t="n">
        <v>11</v>
      </c>
      <c r="H22" s="22" t="n">
        <v>55</v>
      </c>
      <c r="I22" s="7" t="n">
        <v>0.03</v>
      </c>
      <c r="J22" s="22" t="n">
        <v>18.15</v>
      </c>
      <c r="K22" s="22" t="n">
        <v>12</v>
      </c>
      <c r="L22" s="22" t="n">
        <v>598.85</v>
      </c>
      <c r="M22" s="7" t="inlineStr">
        <is>
          <t>已完成</t>
        </is>
      </c>
      <c r="N22" s="7" t="inlineStr">
        <is>
          <t>微信私域</t>
        </is>
      </c>
    </row>
    <row r="23">
      <c r="A23" s="7" t="inlineStr">
        <is>
          <t>SO-202607-0020</t>
        </is>
      </c>
      <c r="B23" s="21" t="n">
        <v>46222</v>
      </c>
      <c r="C23" s="7" t="inlineStr">
        <is>
          <t>CUS-007</t>
        </is>
      </c>
      <c r="D23" s="7" t="inlineStr">
        <is>
          <t>郑州银基商贸</t>
        </is>
      </c>
      <c r="E23" s="7" t="inlineStr">
        <is>
          <t>FS-2401</t>
        </is>
      </c>
      <c r="F23" s="7" t="inlineStr">
        <is>
          <t>复古水洗直筒牛仔裤</t>
        </is>
      </c>
      <c r="G23" s="7" t="n">
        <v>12</v>
      </c>
      <c r="H23" s="22" t="n">
        <v>81</v>
      </c>
      <c r="I23" s="7" t="n">
        <v>0.06</v>
      </c>
      <c r="J23" s="22" t="n">
        <v>58.32</v>
      </c>
      <c r="K23" s="22" t="n">
        <v>0</v>
      </c>
      <c r="L23" s="22" t="n">
        <v>913.6799999999999</v>
      </c>
      <c r="M23" s="7" t="inlineStr">
        <is>
          <t>已完成</t>
        </is>
      </c>
      <c r="N23" s="7" t="inlineStr">
        <is>
          <t>微信私域</t>
        </is>
      </c>
    </row>
    <row r="24">
      <c r="A24" s="7" t="inlineStr">
        <is>
          <t>SO-202607-0021</t>
        </is>
      </c>
      <c r="B24" s="21" t="n">
        <v>46223</v>
      </c>
      <c r="C24" s="7" t="inlineStr">
        <is>
          <t>CUS-005</t>
        </is>
      </c>
      <c r="D24" s="7" t="inlineStr">
        <is>
          <t>长沙衣橱直播间</t>
        </is>
      </c>
      <c r="E24" s="7" t="inlineStr">
        <is>
          <t>FS-2401</t>
        </is>
      </c>
      <c r="F24" s="7" t="inlineStr">
        <is>
          <t>复古水洗直筒牛仔裤</t>
        </is>
      </c>
      <c r="G24" s="7" t="n">
        <v>10</v>
      </c>
      <c r="H24" s="22" t="n">
        <v>85</v>
      </c>
      <c r="I24" s="7" t="n">
        <v>0.03</v>
      </c>
      <c r="J24" s="22" t="n">
        <v>25.5</v>
      </c>
      <c r="K24" s="22" t="n">
        <v>12</v>
      </c>
      <c r="L24" s="22" t="n">
        <v>836.5</v>
      </c>
      <c r="M24" s="7" t="inlineStr">
        <is>
          <t>已完成</t>
        </is>
      </c>
      <c r="N24" s="7" t="inlineStr">
        <is>
          <t>抖音店铺</t>
        </is>
      </c>
    </row>
    <row r="25">
      <c r="A25" s="7" t="inlineStr">
        <is>
          <t>SO-202607-0022</t>
        </is>
      </c>
      <c r="B25" s="21" t="n">
        <v>46223</v>
      </c>
      <c r="C25" s="7" t="inlineStr">
        <is>
          <t>CUS-006</t>
        </is>
      </c>
      <c r="D25" s="7" t="inlineStr">
        <is>
          <t>义乌小商品城店</t>
        </is>
      </c>
      <c r="E25" s="7" t="inlineStr">
        <is>
          <t>FS-2406</t>
        </is>
      </c>
      <c r="F25" s="7" t="inlineStr">
        <is>
          <t>港风短袖衬衫</t>
        </is>
      </c>
      <c r="G25" s="7" t="n">
        <v>11</v>
      </c>
      <c r="H25" s="22" t="n">
        <v>68</v>
      </c>
      <c r="I25" s="7" t="n">
        <v>0.03</v>
      </c>
      <c r="J25" s="22" t="n">
        <v>22.44</v>
      </c>
      <c r="K25" s="22" t="n">
        <v>12</v>
      </c>
      <c r="L25" s="22" t="n">
        <v>737.5599999999999</v>
      </c>
      <c r="M25" s="7" t="inlineStr">
        <is>
          <t>已完成</t>
        </is>
      </c>
      <c r="N25" s="7" t="inlineStr">
        <is>
          <t>微信私域</t>
        </is>
      </c>
    </row>
    <row r="26">
      <c r="A26" s="7" t="inlineStr">
        <is>
          <t>SO-202607-0023</t>
        </is>
      </c>
      <c r="B26" s="21" t="n">
        <v>46223</v>
      </c>
      <c r="C26" s="7" t="inlineStr">
        <is>
          <t>CUS-007</t>
        </is>
      </c>
      <c r="D26" s="7" t="inlineStr">
        <is>
          <t>郑州银基商贸</t>
        </is>
      </c>
      <c r="E26" s="7" t="inlineStr">
        <is>
          <t>FS-2411</t>
        </is>
      </c>
      <c r="F26" s="7" t="inlineStr">
        <is>
          <t>美式宽松卫衣</t>
        </is>
      </c>
      <c r="G26" s="7" t="n">
        <v>12</v>
      </c>
      <c r="H26" s="22" t="n">
        <v>84</v>
      </c>
      <c r="I26" s="7" t="n">
        <v>0.06</v>
      </c>
      <c r="J26" s="22" t="n">
        <v>60.48</v>
      </c>
      <c r="K26" s="22" t="n">
        <v>0</v>
      </c>
      <c r="L26" s="22" t="n">
        <v>947.52</v>
      </c>
      <c r="M26" s="7" t="inlineStr">
        <is>
          <t>已完成</t>
        </is>
      </c>
      <c r="N26" s="7" t="inlineStr">
        <is>
          <t>微信私域</t>
        </is>
      </c>
    </row>
    <row r="27">
      <c r="A27" s="7" t="inlineStr">
        <is>
          <t>SO-202607-0024</t>
        </is>
      </c>
      <c r="B27" s="21" t="n">
        <v>46223</v>
      </c>
      <c r="C27" s="7" t="inlineStr">
        <is>
          <t>CUS-008</t>
        </is>
      </c>
      <c r="D27" s="7" t="inlineStr">
        <is>
          <t>上海线上分销商</t>
        </is>
      </c>
      <c r="E27" s="7" t="inlineStr">
        <is>
          <t>FS-2404</t>
        </is>
      </c>
      <c r="F27" s="7" t="inlineStr">
        <is>
          <t>高腰阔腿西装裤</t>
        </is>
      </c>
      <c r="G27" s="7" t="n">
        <v>13</v>
      </c>
      <c r="H27" s="22" t="n">
        <v>70</v>
      </c>
      <c r="I27" s="7" t="n">
        <v>0.06</v>
      </c>
      <c r="J27" s="22" t="n">
        <v>54.6</v>
      </c>
      <c r="K27" s="22" t="n">
        <v>0</v>
      </c>
      <c r="L27" s="22" t="n">
        <v>855.4</v>
      </c>
      <c r="M27" s="7" t="inlineStr">
        <is>
          <t>已完成</t>
        </is>
      </c>
      <c r="N27" s="7" t="inlineStr">
        <is>
          <t>线下档口</t>
        </is>
      </c>
    </row>
    <row r="28">
      <c r="A28" s="7" t="inlineStr">
        <is>
          <t>SO-202607-0025</t>
        </is>
      </c>
      <c r="B28" s="21" t="n">
        <v>46224</v>
      </c>
      <c r="C28" s="7" t="inlineStr">
        <is>
          <t>CUS-006</t>
        </is>
      </c>
      <c r="D28" s="7" t="inlineStr">
        <is>
          <t>义乌小商品城店</t>
        </is>
      </c>
      <c r="E28" s="7" t="inlineStr">
        <is>
          <t>FS-2404</t>
        </is>
      </c>
      <c r="F28" s="7" t="inlineStr">
        <is>
          <t>高腰阔腿西装裤</t>
        </is>
      </c>
      <c r="G28" s="7" t="n">
        <v>11</v>
      </c>
      <c r="H28" s="22" t="n">
        <v>74</v>
      </c>
      <c r="I28" s="7" t="n">
        <v>0.03</v>
      </c>
      <c r="J28" s="22" t="n">
        <v>24.42</v>
      </c>
      <c r="K28" s="22" t="n">
        <v>12</v>
      </c>
      <c r="L28" s="22" t="n">
        <v>801.58</v>
      </c>
      <c r="M28" s="7" t="inlineStr">
        <is>
          <t>已完成</t>
        </is>
      </c>
      <c r="N28" s="7" t="inlineStr">
        <is>
          <t>微信私域</t>
        </is>
      </c>
    </row>
    <row r="29">
      <c r="A29" s="7" t="inlineStr">
        <is>
          <t>SO-202607-0026</t>
        </is>
      </c>
      <c r="B29" s="21" t="n">
        <v>46224</v>
      </c>
      <c r="C29" s="7" t="inlineStr">
        <is>
          <t>CUS-007</t>
        </is>
      </c>
      <c r="D29" s="7" t="inlineStr">
        <is>
          <t>郑州银基商贸</t>
        </is>
      </c>
      <c r="E29" s="7" t="inlineStr">
        <is>
          <t>FS-2409</t>
        </is>
      </c>
      <c r="F29" s="7" t="inlineStr">
        <is>
          <t>垂感醋酸半身裙</t>
        </is>
      </c>
      <c r="G29" s="7" t="n">
        <v>12</v>
      </c>
      <c r="H29" s="22" t="n">
        <v>77</v>
      </c>
      <c r="I29" s="7" t="n">
        <v>0.06</v>
      </c>
      <c r="J29" s="22" t="n">
        <v>55.44</v>
      </c>
      <c r="K29" s="22" t="n">
        <v>0</v>
      </c>
      <c r="L29" s="22" t="n">
        <v>868.5599999999999</v>
      </c>
      <c r="M29" s="7" t="inlineStr">
        <is>
          <t>已完成</t>
        </is>
      </c>
      <c r="N29" s="7" t="inlineStr">
        <is>
          <t>微信私域</t>
        </is>
      </c>
    </row>
    <row r="30">
      <c r="A30" s="7" t="inlineStr">
        <is>
          <t>SO-202607-0027</t>
        </is>
      </c>
      <c r="B30" s="21" t="n">
        <v>46224</v>
      </c>
      <c r="C30" s="7" t="inlineStr">
        <is>
          <t>CUS-008</t>
        </is>
      </c>
      <c r="D30" s="7" t="inlineStr">
        <is>
          <t>上海线上分销商</t>
        </is>
      </c>
      <c r="E30" s="7" t="inlineStr">
        <is>
          <t>FS-2402</t>
        </is>
      </c>
      <c r="F30" s="7" t="inlineStr">
        <is>
          <t>法式方领碎花连衣裙</t>
        </is>
      </c>
      <c r="G30" s="7" t="n">
        <v>13</v>
      </c>
      <c r="H30" s="22" t="n">
        <v>68</v>
      </c>
      <c r="I30" s="7" t="n">
        <v>0.06</v>
      </c>
      <c r="J30" s="22" t="n">
        <v>53.04</v>
      </c>
      <c r="K30" s="22" t="n">
        <v>0</v>
      </c>
      <c r="L30" s="22" t="n">
        <v>830.96</v>
      </c>
      <c r="M30" s="7" t="inlineStr">
        <is>
          <t>待发货</t>
        </is>
      </c>
      <c r="N30" s="7" t="inlineStr">
        <is>
          <t>线下档口</t>
        </is>
      </c>
    </row>
    <row r="31">
      <c r="A31" s="7" t="inlineStr">
        <is>
          <t>SO-202607-0028</t>
        </is>
      </c>
      <c r="B31" s="21" t="n">
        <v>46224</v>
      </c>
      <c r="C31" s="7" t="inlineStr">
        <is>
          <t>CUS-001</t>
        </is>
      </c>
      <c r="D31" s="7" t="inlineStr">
        <is>
          <t>广州白马服饰店</t>
        </is>
      </c>
      <c r="E31" s="7" t="inlineStr">
        <is>
          <t>FS-2407</t>
        </is>
      </c>
      <c r="F31" s="7" t="inlineStr">
        <is>
          <t>基础百搭背心</t>
        </is>
      </c>
      <c r="G31" s="7" t="n">
        <v>14</v>
      </c>
      <c r="H31" s="22" t="n">
        <v>27</v>
      </c>
      <c r="I31" s="7" t="n">
        <v>0.06</v>
      </c>
      <c r="J31" s="22" t="n">
        <v>22.68</v>
      </c>
      <c r="K31" s="22" t="n">
        <v>0</v>
      </c>
      <c r="L31" s="22" t="n">
        <v>355.32</v>
      </c>
      <c r="M31" s="7" t="inlineStr">
        <is>
          <t>已完成</t>
        </is>
      </c>
      <c r="N31" s="7" t="inlineStr">
        <is>
          <t>抖音店铺</t>
        </is>
      </c>
    </row>
    <row r="32">
      <c r="A32" s="7" t="inlineStr">
        <is>
          <t>SO-202607-0029</t>
        </is>
      </c>
      <c r="B32" s="21" t="n">
        <v>46225</v>
      </c>
      <c r="C32" s="7" t="inlineStr">
        <is>
          <t>CUS-007</t>
        </is>
      </c>
      <c r="D32" s="7" t="inlineStr">
        <is>
          <t>郑州银基商贸</t>
        </is>
      </c>
      <c r="E32" s="7" t="inlineStr">
        <is>
          <t>FS-2407</t>
        </is>
      </c>
      <c r="F32" s="7" t="inlineStr">
        <is>
          <t>基础百搭背心</t>
        </is>
      </c>
      <c r="G32" s="7" t="n">
        <v>12</v>
      </c>
      <c r="H32" s="22" t="n">
        <v>27</v>
      </c>
      <c r="I32" s="7" t="n">
        <v>0.06</v>
      </c>
      <c r="J32" s="22" t="n">
        <v>19.44</v>
      </c>
      <c r="K32" s="22" t="n">
        <v>0</v>
      </c>
      <c r="L32" s="22" t="n">
        <v>304.56</v>
      </c>
      <c r="M32" s="7" t="inlineStr">
        <is>
          <t>已完成</t>
        </is>
      </c>
      <c r="N32" s="7" t="inlineStr">
        <is>
          <t>微信私域</t>
        </is>
      </c>
    </row>
    <row r="33">
      <c r="A33" s="7" t="inlineStr">
        <is>
          <t>SO-202607-0030</t>
        </is>
      </c>
      <c r="B33" s="21" t="n">
        <v>46225</v>
      </c>
      <c r="C33" s="7" t="inlineStr">
        <is>
          <t>CUS-008</t>
        </is>
      </c>
      <c r="D33" s="7" t="inlineStr">
        <is>
          <t>上海线上分销商</t>
        </is>
      </c>
      <c r="E33" s="7" t="inlineStr">
        <is>
          <t>FS-2412</t>
        </is>
      </c>
      <c r="F33" s="7" t="inlineStr">
        <is>
          <t>格纹百褶短裙</t>
        </is>
      </c>
      <c r="G33" s="7" t="n">
        <v>13</v>
      </c>
      <c r="H33" s="22" t="n">
        <v>62</v>
      </c>
      <c r="I33" s="7" t="n">
        <v>0.06</v>
      </c>
      <c r="J33" s="22" t="n">
        <v>48.36</v>
      </c>
      <c r="K33" s="22" t="n">
        <v>0</v>
      </c>
      <c r="L33" s="22" t="n">
        <v>757.64</v>
      </c>
      <c r="M33" s="7" t="inlineStr">
        <is>
          <t>已完成</t>
        </is>
      </c>
      <c r="N33" s="7" t="inlineStr">
        <is>
          <t>线下档口</t>
        </is>
      </c>
    </row>
    <row r="34">
      <c r="A34" s="7" t="inlineStr">
        <is>
          <t>SO-202607-0031</t>
        </is>
      </c>
      <c r="B34" s="21" t="n">
        <v>46225</v>
      </c>
      <c r="C34" s="7" t="inlineStr">
        <is>
          <t>CUS-001</t>
        </is>
      </c>
      <c r="D34" s="7" t="inlineStr">
        <is>
          <t>广州白马服饰店</t>
        </is>
      </c>
      <c r="E34" s="7" t="inlineStr">
        <is>
          <t>FS-2405</t>
        </is>
      </c>
      <c r="F34" s="7" t="inlineStr">
        <is>
          <t>冰丝针织开衫</t>
        </is>
      </c>
      <c r="G34" s="7" t="n">
        <v>14</v>
      </c>
      <c r="H34" s="22" t="n">
        <v>61</v>
      </c>
      <c r="I34" s="7" t="n">
        <v>0.06</v>
      </c>
      <c r="J34" s="22" t="n">
        <v>51.23999999999999</v>
      </c>
      <c r="K34" s="22" t="n">
        <v>0</v>
      </c>
      <c r="L34" s="22" t="n">
        <v>802.76</v>
      </c>
      <c r="M34" s="7" t="inlineStr">
        <is>
          <t>已完成</t>
        </is>
      </c>
      <c r="N34" s="7" t="inlineStr">
        <is>
          <t>微信私域</t>
        </is>
      </c>
    </row>
    <row r="35">
      <c r="A35" s="7" t="inlineStr">
        <is>
          <t>SO-202607-0032</t>
        </is>
      </c>
      <c r="B35" s="21" t="n">
        <v>46225</v>
      </c>
      <c r="C35" s="7" t="inlineStr">
        <is>
          <t>CUS-002</t>
        </is>
      </c>
      <c r="D35" s="7" t="inlineStr">
        <is>
          <t>杭州女装集合店</t>
        </is>
      </c>
      <c r="E35" s="7" t="inlineStr">
        <is>
          <t>FS-2410</t>
        </is>
      </c>
      <c r="F35" s="7" t="inlineStr">
        <is>
          <t>轻薄防晒衬衣</t>
        </is>
      </c>
      <c r="G35" s="7" t="n">
        <v>15</v>
      </c>
      <c r="H35" s="22" t="n">
        <v>57</v>
      </c>
      <c r="I35" s="7" t="n">
        <v>0.06</v>
      </c>
      <c r="J35" s="22" t="n">
        <v>51.3</v>
      </c>
      <c r="K35" s="22" t="n">
        <v>0</v>
      </c>
      <c r="L35" s="22" t="n">
        <v>803.7</v>
      </c>
      <c r="M35" s="7" t="inlineStr">
        <is>
          <t>已完成</t>
        </is>
      </c>
      <c r="N35" s="7" t="inlineStr">
        <is>
          <t>微信私域</t>
        </is>
      </c>
    </row>
    <row r="36">
      <c r="A36" s="7" t="inlineStr">
        <is>
          <t>SO-202607-0033</t>
        </is>
      </c>
      <c r="B36" s="21" t="n">
        <v>46226</v>
      </c>
      <c r="C36" s="7" t="inlineStr">
        <is>
          <t>CUS-008</t>
        </is>
      </c>
      <c r="D36" s="7" t="inlineStr">
        <is>
          <t>上海线上分销商</t>
        </is>
      </c>
      <c r="E36" s="7" t="inlineStr">
        <is>
          <t>FS-2410</t>
        </is>
      </c>
      <c r="F36" s="7" t="inlineStr">
        <is>
          <t>轻薄防晒衬衣</t>
        </is>
      </c>
      <c r="G36" s="7" t="n">
        <v>13</v>
      </c>
      <c r="H36" s="22" t="n">
        <v>57</v>
      </c>
      <c r="I36" s="7" t="n">
        <v>0.06</v>
      </c>
      <c r="J36" s="22" t="n">
        <v>44.46</v>
      </c>
      <c r="K36" s="22" t="n">
        <v>0</v>
      </c>
      <c r="L36" s="22" t="n">
        <v>696.54</v>
      </c>
      <c r="M36" s="7" t="inlineStr">
        <is>
          <t>已完成</t>
        </is>
      </c>
      <c r="N36" s="7" t="inlineStr">
        <is>
          <t>线下档口</t>
        </is>
      </c>
    </row>
    <row r="37">
      <c r="A37" s="7" t="inlineStr">
        <is>
          <t>SO-202607-0034</t>
        </is>
      </c>
      <c r="B37" s="21" t="n">
        <v>46226</v>
      </c>
      <c r="C37" s="7" t="inlineStr">
        <is>
          <t>CUS-001</t>
        </is>
      </c>
      <c r="D37" s="7" t="inlineStr">
        <is>
          <t>广州白马服饰店</t>
        </is>
      </c>
      <c r="E37" s="7" t="inlineStr">
        <is>
          <t>FS-2403</t>
        </is>
      </c>
      <c r="F37" s="7" t="inlineStr">
        <is>
          <t>宽松纯棉印花T恤</t>
        </is>
      </c>
      <c r="G37" s="7" t="n">
        <v>14</v>
      </c>
      <c r="H37" s="22" t="n">
        <v>37</v>
      </c>
      <c r="I37" s="7" t="n">
        <v>0.06</v>
      </c>
      <c r="J37" s="22" t="n">
        <v>31.08</v>
      </c>
      <c r="K37" s="22" t="n">
        <v>0</v>
      </c>
      <c r="L37" s="22" t="n">
        <v>486.92</v>
      </c>
      <c r="M37" s="7" t="inlineStr">
        <is>
          <t>已完成</t>
        </is>
      </c>
      <c r="N37" s="7" t="inlineStr">
        <is>
          <t>微信私域</t>
        </is>
      </c>
    </row>
    <row r="38">
      <c r="A38" s="7" t="inlineStr">
        <is>
          <t>SO-202607-0035</t>
        </is>
      </c>
      <c r="B38" s="21" t="n">
        <v>46226</v>
      </c>
      <c r="C38" s="7" t="inlineStr">
        <is>
          <t>CUS-002</t>
        </is>
      </c>
      <c r="D38" s="7" t="inlineStr">
        <is>
          <t>杭州女装集合店</t>
        </is>
      </c>
      <c r="E38" s="7" t="inlineStr">
        <is>
          <t>FS-2408</t>
        </is>
      </c>
      <c r="F38" s="7" t="inlineStr">
        <is>
          <t>运动速干短裤</t>
        </is>
      </c>
      <c r="G38" s="7" t="n">
        <v>15</v>
      </c>
      <c r="H38" s="22" t="n">
        <v>51</v>
      </c>
      <c r="I38" s="7" t="n">
        <v>0.06</v>
      </c>
      <c r="J38" s="22" t="n">
        <v>45.9</v>
      </c>
      <c r="K38" s="22" t="n">
        <v>0</v>
      </c>
      <c r="L38" s="22" t="n">
        <v>719.1</v>
      </c>
      <c r="M38" s="7" t="inlineStr">
        <is>
          <t>已完成</t>
        </is>
      </c>
      <c r="N38" s="7" t="inlineStr">
        <is>
          <t>抖音店铺</t>
        </is>
      </c>
    </row>
    <row r="39">
      <c r="A39" s="7" t="inlineStr">
        <is>
          <t>SO-202607-0036</t>
        </is>
      </c>
      <c r="B39" s="21" t="n">
        <v>46226</v>
      </c>
      <c r="C39" s="7" t="inlineStr">
        <is>
          <t>CUS-003</t>
        </is>
      </c>
      <c r="D39" s="7" t="inlineStr">
        <is>
          <t>成都潮流买手店</t>
        </is>
      </c>
      <c r="E39" s="7" t="inlineStr">
        <is>
          <t>FS-2401</t>
        </is>
      </c>
      <c r="F39" s="7" t="inlineStr">
        <is>
          <t>复古水洗直筒牛仔裤</t>
        </is>
      </c>
      <c r="G39" s="7" t="n">
        <v>16</v>
      </c>
      <c r="H39" s="22" t="n">
        <v>85</v>
      </c>
      <c r="I39" s="7" t="n">
        <v>0.03</v>
      </c>
      <c r="J39" s="22" t="n">
        <v>40.8</v>
      </c>
      <c r="K39" s="22" t="n">
        <v>0</v>
      </c>
      <c r="L39" s="22" t="n">
        <v>1319.2</v>
      </c>
      <c r="M39" s="7" t="inlineStr">
        <is>
          <t>待发货</t>
        </is>
      </c>
      <c r="N39" s="7" t="inlineStr">
        <is>
          <t>线下档口</t>
        </is>
      </c>
    </row>
    <row r="40">
      <c r="A40" s="7" t="inlineStr">
        <is>
          <t>SO-202607-0037</t>
        </is>
      </c>
      <c r="B40" s="21" t="n">
        <v>46227</v>
      </c>
      <c r="C40" s="7" t="inlineStr">
        <is>
          <t>CUS-001</t>
        </is>
      </c>
      <c r="D40" s="7" t="inlineStr">
        <is>
          <t>广州白马服饰店</t>
        </is>
      </c>
      <c r="E40" s="7" t="inlineStr">
        <is>
          <t>FS-2401</t>
        </is>
      </c>
      <c r="F40" s="7" t="inlineStr">
        <is>
          <t>复古水洗直筒牛仔裤</t>
        </is>
      </c>
      <c r="G40" s="7" t="n">
        <v>14</v>
      </c>
      <c r="H40" s="22" t="n">
        <v>81</v>
      </c>
      <c r="I40" s="7" t="n">
        <v>0.06</v>
      </c>
      <c r="J40" s="22" t="n">
        <v>68.03999999999999</v>
      </c>
      <c r="K40" s="22" t="n">
        <v>0</v>
      </c>
      <c r="L40" s="22" t="n">
        <v>1065.96</v>
      </c>
      <c r="M40" s="7" t="inlineStr">
        <is>
          <t>已完成</t>
        </is>
      </c>
      <c r="N40" s="7" t="inlineStr">
        <is>
          <t>微信私域</t>
        </is>
      </c>
    </row>
    <row r="41">
      <c r="A41" s="7" t="inlineStr">
        <is>
          <t>SO-202607-0038</t>
        </is>
      </c>
      <c r="B41" s="21" t="n">
        <v>46227</v>
      </c>
      <c r="C41" s="7" t="inlineStr">
        <is>
          <t>CUS-002</t>
        </is>
      </c>
      <c r="D41" s="7" t="inlineStr">
        <is>
          <t>杭州女装集合店</t>
        </is>
      </c>
      <c r="E41" s="7" t="inlineStr">
        <is>
          <t>FS-2406</t>
        </is>
      </c>
      <c r="F41" s="7" t="inlineStr">
        <is>
          <t>港风短袖衬衫</t>
        </is>
      </c>
      <c r="G41" s="7" t="n">
        <v>15</v>
      </c>
      <c r="H41" s="22" t="n">
        <v>64</v>
      </c>
      <c r="I41" s="7" t="n">
        <v>0.06</v>
      </c>
      <c r="J41" s="22" t="n">
        <v>57.59999999999999</v>
      </c>
      <c r="K41" s="22" t="n">
        <v>0</v>
      </c>
      <c r="L41" s="22" t="n">
        <v>902.4</v>
      </c>
      <c r="M41" s="7" t="inlineStr">
        <is>
          <t>已完成</t>
        </is>
      </c>
      <c r="N41" s="7" t="inlineStr">
        <is>
          <t>微信私域</t>
        </is>
      </c>
    </row>
    <row r="42">
      <c r="A42" s="7" t="inlineStr">
        <is>
          <t>SO-202607-0039</t>
        </is>
      </c>
      <c r="B42" s="21" t="n">
        <v>46227</v>
      </c>
      <c r="C42" s="7" t="inlineStr">
        <is>
          <t>CUS-003</t>
        </is>
      </c>
      <c r="D42" s="7" t="inlineStr">
        <is>
          <t>成都潮流买手店</t>
        </is>
      </c>
      <c r="E42" s="7" t="inlineStr">
        <is>
          <t>FS-2411</t>
        </is>
      </c>
      <c r="F42" s="7" t="inlineStr">
        <is>
          <t>美式宽松卫衣</t>
        </is>
      </c>
      <c r="G42" s="7" t="n">
        <v>16</v>
      </c>
      <c r="H42" s="22" t="n">
        <v>88</v>
      </c>
      <c r="I42" s="7" t="n">
        <v>0.03</v>
      </c>
      <c r="J42" s="22" t="n">
        <v>42.23999999999999</v>
      </c>
      <c r="K42" s="22" t="n">
        <v>0</v>
      </c>
      <c r="L42" s="22" t="n">
        <v>1365.76</v>
      </c>
      <c r="M42" s="7" t="inlineStr">
        <is>
          <t>已完成</t>
        </is>
      </c>
      <c r="N42" s="7" t="inlineStr">
        <is>
          <t>线下档口</t>
        </is>
      </c>
    </row>
    <row r="43">
      <c r="A43" s="7" t="inlineStr">
        <is>
          <t>SO-202607-0040</t>
        </is>
      </c>
      <c r="B43" s="21" t="n">
        <v>46227</v>
      </c>
      <c r="C43" s="7" t="inlineStr">
        <is>
          <t>CUS-004</t>
        </is>
      </c>
      <c r="D43" s="7" t="inlineStr">
        <is>
          <t>武汉汉正街档口</t>
        </is>
      </c>
      <c r="E43" s="7" t="inlineStr">
        <is>
          <t>FS-2404</t>
        </is>
      </c>
      <c r="F43" s="7" t="inlineStr">
        <is>
          <t>高腰阔腿西装裤</t>
        </is>
      </c>
      <c r="G43" s="7" t="n">
        <v>17</v>
      </c>
      <c r="H43" s="22" t="n">
        <v>70</v>
      </c>
      <c r="I43" s="7" t="n">
        <v>0.06</v>
      </c>
      <c r="J43" s="22" t="n">
        <v>71.39999999999999</v>
      </c>
      <c r="K43" s="22" t="n">
        <v>0</v>
      </c>
      <c r="L43" s="22" t="n">
        <v>1118.6</v>
      </c>
      <c r="M43" s="7" t="inlineStr">
        <is>
          <t>已完成</t>
        </is>
      </c>
      <c r="N43" s="7" t="inlineStr">
        <is>
          <t>微信私域</t>
        </is>
      </c>
    </row>
    <row r="44">
      <c r="A44" s="7" t="inlineStr">
        <is>
          <t>SO-202607-0041</t>
        </is>
      </c>
      <c r="B44" s="21" t="n">
        <v>46228</v>
      </c>
      <c r="C44" s="7" t="inlineStr">
        <is>
          <t>CUS-002</t>
        </is>
      </c>
      <c r="D44" s="7" t="inlineStr">
        <is>
          <t>杭州女装集合店</t>
        </is>
      </c>
      <c r="E44" s="7" t="inlineStr">
        <is>
          <t>FS-2404</t>
        </is>
      </c>
      <c r="F44" s="7" t="inlineStr">
        <is>
          <t>高腰阔腿西装裤</t>
        </is>
      </c>
      <c r="G44" s="7" t="n">
        <v>15</v>
      </c>
      <c r="H44" s="22" t="n">
        <v>70</v>
      </c>
      <c r="I44" s="7" t="n">
        <v>0.06</v>
      </c>
      <c r="J44" s="22" t="n">
        <v>63</v>
      </c>
      <c r="K44" s="22" t="n">
        <v>0</v>
      </c>
      <c r="L44" s="22" t="n">
        <v>987</v>
      </c>
      <c r="M44" s="7" t="inlineStr">
        <is>
          <t>已完成</t>
        </is>
      </c>
      <c r="N44" s="7" t="inlineStr">
        <is>
          <t>微信私域</t>
        </is>
      </c>
    </row>
    <row r="45">
      <c r="A45" s="7" t="inlineStr">
        <is>
          <t>SO-202607-0042</t>
        </is>
      </c>
      <c r="B45" s="21" t="n">
        <v>46228</v>
      </c>
      <c r="C45" s="7" t="inlineStr">
        <is>
          <t>CUS-003</t>
        </is>
      </c>
      <c r="D45" s="7" t="inlineStr">
        <is>
          <t>成都潮流买手店</t>
        </is>
      </c>
      <c r="E45" s="7" t="inlineStr">
        <is>
          <t>FS-2409</t>
        </is>
      </c>
      <c r="F45" s="7" t="inlineStr">
        <is>
          <t>垂感醋酸半身裙</t>
        </is>
      </c>
      <c r="G45" s="7" t="n">
        <v>16</v>
      </c>
      <c r="H45" s="22" t="n">
        <v>81</v>
      </c>
      <c r="I45" s="7" t="n">
        <v>0.03</v>
      </c>
      <c r="J45" s="22" t="n">
        <v>38.88</v>
      </c>
      <c r="K45" s="22" t="n">
        <v>0</v>
      </c>
      <c r="L45" s="22" t="n">
        <v>1257.12</v>
      </c>
      <c r="M45" s="7" t="inlineStr">
        <is>
          <t>已完成</t>
        </is>
      </c>
      <c r="N45" s="7" t="inlineStr">
        <is>
          <t>抖音店铺</t>
        </is>
      </c>
    </row>
    <row r="46">
      <c r="A46" s="7" t="inlineStr">
        <is>
          <t>SO-202607-0043</t>
        </is>
      </c>
      <c r="B46" s="21" t="n">
        <v>46228</v>
      </c>
      <c r="C46" s="7" t="inlineStr">
        <is>
          <t>CUS-004</t>
        </is>
      </c>
      <c r="D46" s="7" t="inlineStr">
        <is>
          <t>武汉汉正街档口</t>
        </is>
      </c>
      <c r="E46" s="7" t="inlineStr">
        <is>
          <t>FS-2402</t>
        </is>
      </c>
      <c r="F46" s="7" t="inlineStr">
        <is>
          <t>法式方领碎花连衣裙</t>
        </is>
      </c>
      <c r="G46" s="7" t="n">
        <v>17</v>
      </c>
      <c r="H46" s="22" t="n">
        <v>68</v>
      </c>
      <c r="I46" s="7" t="n">
        <v>0.06</v>
      </c>
      <c r="J46" s="22" t="n">
        <v>69.36</v>
      </c>
      <c r="K46" s="22" t="n">
        <v>0</v>
      </c>
      <c r="L46" s="22" t="n">
        <v>1086.64</v>
      </c>
      <c r="M46" s="7" t="inlineStr">
        <is>
          <t>已完成</t>
        </is>
      </c>
      <c r="N46" s="7" t="inlineStr">
        <is>
          <t>微信私域</t>
        </is>
      </c>
    </row>
    <row r="47">
      <c r="A47" s="7" t="inlineStr">
        <is>
          <t>SO-202607-0044</t>
        </is>
      </c>
      <c r="B47" s="21" t="n">
        <v>46228</v>
      </c>
      <c r="C47" s="7" t="inlineStr">
        <is>
          <t>CUS-005</t>
        </is>
      </c>
      <c r="D47" s="7" t="inlineStr">
        <is>
          <t>长沙衣橱直播间</t>
        </is>
      </c>
      <c r="E47" s="7" t="inlineStr">
        <is>
          <t>FS-2407</t>
        </is>
      </c>
      <c r="F47" s="7" t="inlineStr">
        <is>
          <t>基础百搭背心</t>
        </is>
      </c>
      <c r="G47" s="7" t="n">
        <v>4</v>
      </c>
      <c r="H47" s="22" t="n">
        <v>31</v>
      </c>
      <c r="I47" s="7" t="n">
        <v>0.03</v>
      </c>
      <c r="J47" s="22" t="n">
        <v>3.72</v>
      </c>
      <c r="K47" s="22" t="n">
        <v>12</v>
      </c>
      <c r="L47" s="22" t="n">
        <v>132.28</v>
      </c>
      <c r="M47" s="7" t="inlineStr">
        <is>
          <t>已完成</t>
        </is>
      </c>
      <c r="N47" s="7" t="inlineStr">
        <is>
          <t>微信私域</t>
        </is>
      </c>
    </row>
    <row r="48">
      <c r="A48" s="7" t="inlineStr">
        <is>
          <t>SO-202607-0045</t>
        </is>
      </c>
      <c r="B48" s="21" t="n">
        <v>46229</v>
      </c>
      <c r="C48" s="7" t="inlineStr">
        <is>
          <t>CUS-003</t>
        </is>
      </c>
      <c r="D48" s="7" t="inlineStr">
        <is>
          <t>成都潮流买手店</t>
        </is>
      </c>
      <c r="E48" s="7" t="inlineStr">
        <is>
          <t>FS-2407</t>
        </is>
      </c>
      <c r="F48" s="7" t="inlineStr">
        <is>
          <t>基础百搭背心</t>
        </is>
      </c>
      <c r="G48" s="7" t="n">
        <v>16</v>
      </c>
      <c r="H48" s="22" t="n">
        <v>31</v>
      </c>
      <c r="I48" s="7" t="n">
        <v>0.03</v>
      </c>
      <c r="J48" s="22" t="n">
        <v>14.88</v>
      </c>
      <c r="K48" s="22" t="n">
        <v>0</v>
      </c>
      <c r="L48" s="22" t="n">
        <v>481.12</v>
      </c>
      <c r="M48" s="7" t="inlineStr">
        <is>
          <t>待发货</t>
        </is>
      </c>
      <c r="N48" s="7" t="inlineStr">
        <is>
          <t>线下档口</t>
        </is>
      </c>
    </row>
    <row r="49">
      <c r="A49" s="7" t="inlineStr">
        <is>
          <t>SO-202607-0046</t>
        </is>
      </c>
      <c r="B49" s="21" t="n">
        <v>46229</v>
      </c>
      <c r="C49" s="7" t="inlineStr">
        <is>
          <t>CUS-004</t>
        </is>
      </c>
      <c r="D49" s="7" t="inlineStr">
        <is>
          <t>武汉汉正街档口</t>
        </is>
      </c>
      <c r="E49" s="7" t="inlineStr">
        <is>
          <t>FS-2412</t>
        </is>
      </c>
      <c r="F49" s="7" t="inlineStr">
        <is>
          <t>格纹百褶短裙</t>
        </is>
      </c>
      <c r="G49" s="7" t="n">
        <v>17</v>
      </c>
      <c r="H49" s="22" t="n">
        <v>62</v>
      </c>
      <c r="I49" s="7" t="n">
        <v>0.06</v>
      </c>
      <c r="J49" s="22" t="n">
        <v>63.23999999999999</v>
      </c>
      <c r="K49" s="22" t="n">
        <v>0</v>
      </c>
      <c r="L49" s="22" t="n">
        <v>990.76</v>
      </c>
      <c r="M49" s="7" t="inlineStr">
        <is>
          <t>已完成</t>
        </is>
      </c>
      <c r="N49" s="7" t="inlineStr">
        <is>
          <t>微信私域</t>
        </is>
      </c>
    </row>
    <row r="50">
      <c r="A50" s="7" t="inlineStr">
        <is>
          <t>SO-202607-0047</t>
        </is>
      </c>
      <c r="B50" s="21" t="n">
        <v>46229</v>
      </c>
      <c r="C50" s="7" t="inlineStr">
        <is>
          <t>CUS-005</t>
        </is>
      </c>
      <c r="D50" s="7" t="inlineStr">
        <is>
          <t>长沙衣橱直播间</t>
        </is>
      </c>
      <c r="E50" s="7" t="inlineStr">
        <is>
          <t>FS-2405</t>
        </is>
      </c>
      <c r="F50" s="7" t="inlineStr">
        <is>
          <t>冰丝针织开衫</t>
        </is>
      </c>
      <c r="G50" s="7" t="n">
        <v>4</v>
      </c>
      <c r="H50" s="22" t="n">
        <v>65</v>
      </c>
      <c r="I50" s="7" t="n">
        <v>0.03</v>
      </c>
      <c r="J50" s="22" t="n">
        <v>7.8</v>
      </c>
      <c r="K50" s="22" t="n">
        <v>12</v>
      </c>
      <c r="L50" s="22" t="n">
        <v>264.2</v>
      </c>
      <c r="M50" s="7" t="inlineStr">
        <is>
          <t>已完成</t>
        </is>
      </c>
      <c r="N50" s="7" t="inlineStr">
        <is>
          <t>微信私域</t>
        </is>
      </c>
    </row>
    <row r="51">
      <c r="A51" s="7" t="inlineStr">
        <is>
          <t>SO-202607-0048</t>
        </is>
      </c>
      <c r="B51" s="21" t="n">
        <v>46229</v>
      </c>
      <c r="C51" s="7" t="inlineStr">
        <is>
          <t>CUS-006</t>
        </is>
      </c>
      <c r="D51" s="7" t="inlineStr">
        <is>
          <t>义乌小商品城店</t>
        </is>
      </c>
      <c r="E51" s="7" t="inlineStr">
        <is>
          <t>FS-2410</t>
        </is>
      </c>
      <c r="F51" s="7" t="inlineStr">
        <is>
          <t>轻薄防晒衬衣</t>
        </is>
      </c>
      <c r="G51" s="7" t="n">
        <v>5</v>
      </c>
      <c r="H51" s="22" t="n">
        <v>61</v>
      </c>
      <c r="I51" s="7" t="n">
        <v>0.03</v>
      </c>
      <c r="J51" s="22" t="n">
        <v>9.15</v>
      </c>
      <c r="K51" s="22" t="n">
        <v>12</v>
      </c>
      <c r="L51" s="22" t="n">
        <v>307.85</v>
      </c>
      <c r="M51" s="7" t="inlineStr">
        <is>
          <t>已完成</t>
        </is>
      </c>
      <c r="N51" s="7" t="inlineStr">
        <is>
          <t>线下档口</t>
        </is>
      </c>
    </row>
    <row r="52">
      <c r="A52" s="7" t="inlineStr">
        <is>
          <t>SO-202607-0049</t>
        </is>
      </c>
      <c r="B52" s="21" t="n">
        <v>46230</v>
      </c>
      <c r="C52" s="7" t="inlineStr">
        <is>
          <t>CUS-004</t>
        </is>
      </c>
      <c r="D52" s="7" t="inlineStr">
        <is>
          <t>武汉汉正街档口</t>
        </is>
      </c>
      <c r="E52" s="7" t="inlineStr">
        <is>
          <t>FS-2410</t>
        </is>
      </c>
      <c r="F52" s="7" t="inlineStr">
        <is>
          <t>轻薄防晒衬衣</t>
        </is>
      </c>
      <c r="G52" s="7" t="n">
        <v>17</v>
      </c>
      <c r="H52" s="22" t="n">
        <v>57</v>
      </c>
      <c r="I52" s="7" t="n">
        <v>0.06</v>
      </c>
      <c r="J52" s="22" t="n">
        <v>58.14</v>
      </c>
      <c r="K52" s="22" t="n">
        <v>0</v>
      </c>
      <c r="L52" s="22" t="n">
        <v>910.86</v>
      </c>
      <c r="M52" s="7" t="inlineStr">
        <is>
          <t>已完成</t>
        </is>
      </c>
      <c r="N52" s="7" t="inlineStr">
        <is>
          <t>抖音店铺</t>
        </is>
      </c>
    </row>
    <row r="53">
      <c r="A53" s="7" t="inlineStr">
        <is>
          <t>SO-202607-0050</t>
        </is>
      </c>
      <c r="B53" s="21" t="n">
        <v>46230</v>
      </c>
      <c r="C53" s="7" t="inlineStr">
        <is>
          <t>CUS-005</t>
        </is>
      </c>
      <c r="D53" s="7" t="inlineStr">
        <is>
          <t>长沙衣橱直播间</t>
        </is>
      </c>
      <c r="E53" s="7" t="inlineStr">
        <is>
          <t>FS-2403</t>
        </is>
      </c>
      <c r="F53" s="7" t="inlineStr">
        <is>
          <t>宽松纯棉印花T恤</t>
        </is>
      </c>
      <c r="G53" s="7" t="n">
        <v>4</v>
      </c>
      <c r="H53" s="22" t="n">
        <v>41</v>
      </c>
      <c r="I53" s="7" t="n">
        <v>0.03</v>
      </c>
      <c r="J53" s="22" t="n">
        <v>4.92</v>
      </c>
      <c r="K53" s="22" t="n">
        <v>12</v>
      </c>
      <c r="L53" s="22" t="n">
        <v>171.08</v>
      </c>
      <c r="M53" s="7" t="inlineStr">
        <is>
          <t>已完成</t>
        </is>
      </c>
      <c r="N53" s="7" t="inlineStr">
        <is>
          <t>微信私域</t>
        </is>
      </c>
    </row>
    <row r="54">
      <c r="A54" s="7" t="inlineStr">
        <is>
          <t>SO-202607-0051</t>
        </is>
      </c>
      <c r="B54" s="21" t="n">
        <v>46230</v>
      </c>
      <c r="C54" s="7" t="inlineStr">
        <is>
          <t>CUS-006</t>
        </is>
      </c>
      <c r="D54" s="7" t="inlineStr">
        <is>
          <t>义乌小商品城店</t>
        </is>
      </c>
      <c r="E54" s="7" t="inlineStr">
        <is>
          <t>FS-2408</t>
        </is>
      </c>
      <c r="F54" s="7" t="inlineStr">
        <is>
          <t>运动速干短裤</t>
        </is>
      </c>
      <c r="G54" s="7" t="n">
        <v>5</v>
      </c>
      <c r="H54" s="22" t="n">
        <v>55</v>
      </c>
      <c r="I54" s="7" t="n">
        <v>0.03</v>
      </c>
      <c r="J54" s="22" t="n">
        <v>8.25</v>
      </c>
      <c r="K54" s="22" t="n">
        <v>12</v>
      </c>
      <c r="L54" s="22" t="n">
        <v>278.75</v>
      </c>
      <c r="M54" s="7" t="inlineStr">
        <is>
          <t>已完成</t>
        </is>
      </c>
      <c r="N54" s="7" t="inlineStr">
        <is>
          <t>线下档口</t>
        </is>
      </c>
    </row>
    <row r="55">
      <c r="A55" s="7" t="inlineStr">
        <is>
          <t>SO-202607-0052</t>
        </is>
      </c>
      <c r="B55" s="21" t="n">
        <v>46230</v>
      </c>
      <c r="C55" s="7" t="inlineStr">
        <is>
          <t>CUS-007</t>
        </is>
      </c>
      <c r="D55" s="7" t="inlineStr">
        <is>
          <t>郑州银基商贸</t>
        </is>
      </c>
      <c r="E55" s="7" t="inlineStr">
        <is>
          <t>FS-2401</t>
        </is>
      </c>
      <c r="F55" s="7" t="inlineStr">
        <is>
          <t>复古水洗直筒牛仔裤</t>
        </is>
      </c>
      <c r="G55" s="7" t="n">
        <v>6</v>
      </c>
      <c r="H55" s="22" t="n">
        <v>81</v>
      </c>
      <c r="I55" s="7" t="n">
        <v>0.06</v>
      </c>
      <c r="J55" s="22" t="n">
        <v>29.16</v>
      </c>
      <c r="K55" s="22" t="n">
        <v>12</v>
      </c>
      <c r="L55" s="22" t="n">
        <v>468.84</v>
      </c>
      <c r="M55" s="7" t="inlineStr">
        <is>
          <t>已完成</t>
        </is>
      </c>
      <c r="N55" s="7" t="inlineStr">
        <is>
          <t>微信私域</t>
        </is>
      </c>
    </row>
    <row r="56">
      <c r="A56" s="7" t="inlineStr">
        <is>
          <t>SO-202607-0053</t>
        </is>
      </c>
      <c r="B56" s="21" t="n">
        <v>46231</v>
      </c>
      <c r="C56" s="7" t="inlineStr">
        <is>
          <t>CUS-005</t>
        </is>
      </c>
      <c r="D56" s="7" t="inlineStr">
        <is>
          <t>长沙衣橱直播间</t>
        </is>
      </c>
      <c r="E56" s="7" t="inlineStr">
        <is>
          <t>FS-2401</t>
        </is>
      </c>
      <c r="F56" s="7" t="inlineStr">
        <is>
          <t>复古水洗直筒牛仔裤</t>
        </is>
      </c>
      <c r="G56" s="7" t="n">
        <v>4</v>
      </c>
      <c r="H56" s="22" t="n">
        <v>85</v>
      </c>
      <c r="I56" s="7" t="n">
        <v>0.03</v>
      </c>
      <c r="J56" s="22" t="n">
        <v>10.2</v>
      </c>
      <c r="K56" s="22" t="n">
        <v>12</v>
      </c>
      <c r="L56" s="22" t="n">
        <v>341.8</v>
      </c>
      <c r="M56" s="7" t="inlineStr">
        <is>
          <t>已完成</t>
        </is>
      </c>
      <c r="N56" s="7" t="inlineStr">
        <is>
          <t>微信私域</t>
        </is>
      </c>
    </row>
    <row r="57">
      <c r="A57" s="7" t="inlineStr">
        <is>
          <t>SO-202607-0054</t>
        </is>
      </c>
      <c r="B57" s="21" t="n">
        <v>46231</v>
      </c>
      <c r="C57" s="7" t="inlineStr">
        <is>
          <t>CUS-006</t>
        </is>
      </c>
      <c r="D57" s="7" t="inlineStr">
        <is>
          <t>义乌小商品城店</t>
        </is>
      </c>
      <c r="E57" s="7" t="inlineStr">
        <is>
          <t>FS-2406</t>
        </is>
      </c>
      <c r="F57" s="7" t="inlineStr">
        <is>
          <t>港风短袖衬衫</t>
        </is>
      </c>
      <c r="G57" s="7" t="n">
        <v>5</v>
      </c>
      <c r="H57" s="22" t="n">
        <v>68</v>
      </c>
      <c r="I57" s="7" t="n">
        <v>0.03</v>
      </c>
      <c r="J57" s="22" t="n">
        <v>10.2</v>
      </c>
      <c r="K57" s="22" t="n">
        <v>12</v>
      </c>
      <c r="L57" s="22" t="n">
        <v>341.8</v>
      </c>
      <c r="M57" s="7" t="inlineStr">
        <is>
          <t>待发货</t>
        </is>
      </c>
      <c r="N57" s="7" t="inlineStr">
        <is>
          <t>线下档口</t>
        </is>
      </c>
    </row>
    <row r="58">
      <c r="A58" s="7" t="inlineStr">
        <is>
          <t>SO-202607-0055</t>
        </is>
      </c>
      <c r="B58" s="21" t="n">
        <v>46231</v>
      </c>
      <c r="C58" s="7" t="inlineStr">
        <is>
          <t>CUS-007</t>
        </is>
      </c>
      <c r="D58" s="7" t="inlineStr">
        <is>
          <t>郑州银基商贸</t>
        </is>
      </c>
      <c r="E58" s="7" t="inlineStr">
        <is>
          <t>FS-2411</t>
        </is>
      </c>
      <c r="F58" s="7" t="inlineStr">
        <is>
          <t>美式宽松卫衣</t>
        </is>
      </c>
      <c r="G58" s="7" t="n">
        <v>6</v>
      </c>
      <c r="H58" s="22" t="n">
        <v>84</v>
      </c>
      <c r="I58" s="7" t="n">
        <v>0.06</v>
      </c>
      <c r="J58" s="22" t="n">
        <v>30.24</v>
      </c>
      <c r="K58" s="22" t="n">
        <v>12</v>
      </c>
      <c r="L58" s="22" t="n">
        <v>485.76</v>
      </c>
      <c r="M58" s="7" t="inlineStr">
        <is>
          <t>已完成</t>
        </is>
      </c>
      <c r="N58" s="7" t="inlineStr">
        <is>
          <t>微信私域</t>
        </is>
      </c>
    </row>
    <row r="59">
      <c r="A59" s="7" t="inlineStr">
        <is>
          <t>SO-202607-0056</t>
        </is>
      </c>
      <c r="B59" s="21" t="n">
        <v>46231</v>
      </c>
      <c r="C59" s="7" t="inlineStr">
        <is>
          <t>CUS-008</t>
        </is>
      </c>
      <c r="D59" s="7" t="inlineStr">
        <is>
          <t>上海线上分销商</t>
        </is>
      </c>
      <c r="E59" s="7" t="inlineStr">
        <is>
          <t>FS-2404</t>
        </is>
      </c>
      <c r="F59" s="7" t="inlineStr">
        <is>
          <t>高腰阔腿西装裤</t>
        </is>
      </c>
      <c r="G59" s="7" t="n">
        <v>7</v>
      </c>
      <c r="H59" s="22" t="n">
        <v>70</v>
      </c>
      <c r="I59" s="7" t="n">
        <v>0.06</v>
      </c>
      <c r="J59" s="22" t="n">
        <v>29.4</v>
      </c>
      <c r="K59" s="22" t="n">
        <v>12</v>
      </c>
      <c r="L59" s="22" t="n">
        <v>472.6</v>
      </c>
      <c r="M59" s="7" t="inlineStr">
        <is>
          <t>已完成</t>
        </is>
      </c>
      <c r="N59" s="7" t="inlineStr">
        <is>
          <t>抖音店铺</t>
        </is>
      </c>
    </row>
    <row r="60">
      <c r="A60" t="inlineStr">
        <is>
          <t>SO-202607-0057</t>
        </is>
      </c>
      <c r="B60" t="n">
        <v>46232</v>
      </c>
      <c r="C60" t="inlineStr">
        <is>
          <t>CUS-002</t>
        </is>
      </c>
      <c r="D60" t="inlineStr">
        <is>
          <t>杭州女装集合店</t>
        </is>
      </c>
      <c r="E60" t="inlineStr">
        <is>
          <t>FS-2408</t>
        </is>
      </c>
      <c r="F60" t="inlineStr">
        <is>
          <t>运动速干短裤</t>
        </is>
      </c>
      <c r="G60" t="n">
        <v>25</v>
      </c>
      <c r="H60" t="n">
        <v>51</v>
      </c>
      <c r="I60" t="n">
        <v>0.06</v>
      </c>
      <c r="J60" t="n">
        <v>76.5</v>
      </c>
      <c r="K60" t="n">
        <v>12</v>
      </c>
      <c r="L60" t="n">
        <v>1210.5</v>
      </c>
      <c r="M60" t="inlineStr">
        <is>
          <t>已完成</t>
        </is>
      </c>
      <c r="N60" t="inlineStr">
        <is>
          <t>微信私域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3" t="inlineStr">
        <is>
          <t>客户档案 · 渠道客户与等级</t>
        </is>
      </c>
    </row>
    <row r="3">
      <c r="A3" s="17" t="inlineStr">
        <is>
          <t>客户编号</t>
        </is>
      </c>
      <c r="B3" s="17" t="inlineStr">
        <is>
          <t>客户名称</t>
        </is>
      </c>
      <c r="C3" s="17" t="inlineStr">
        <is>
          <t>省份</t>
        </is>
      </c>
      <c r="D3" s="17" t="inlineStr">
        <is>
          <t>客户类型</t>
        </is>
      </c>
      <c r="E3" s="17" t="inlineStr">
        <is>
          <t>客户等级</t>
        </is>
      </c>
    </row>
    <row r="4">
      <c r="A4" s="7" t="inlineStr">
        <is>
          <t>CUS-001</t>
        </is>
      </c>
      <c r="B4" s="7" t="inlineStr">
        <is>
          <t>广州白马服饰店</t>
        </is>
      </c>
      <c r="C4" s="7" t="inlineStr">
        <is>
          <t>广东</t>
        </is>
      </c>
      <c r="D4" s="7" t="inlineStr">
        <is>
          <t>批发商</t>
        </is>
      </c>
      <c r="E4" s="7" t="inlineStr">
        <is>
          <t>A级</t>
        </is>
      </c>
    </row>
    <row r="5">
      <c r="A5" s="7" t="inlineStr">
        <is>
          <t>CUS-002</t>
        </is>
      </c>
      <c r="B5" s="7" t="inlineStr">
        <is>
          <t>杭州女装集合店</t>
        </is>
      </c>
      <c r="C5" s="7" t="inlineStr">
        <is>
          <t>浙江</t>
        </is>
      </c>
      <c r="D5" s="7" t="inlineStr">
        <is>
          <t>零售店</t>
        </is>
      </c>
      <c r="E5" s="7" t="inlineStr">
        <is>
          <t>A级</t>
        </is>
      </c>
    </row>
    <row r="6">
      <c r="A6" s="7" t="inlineStr">
        <is>
          <t>CUS-003</t>
        </is>
      </c>
      <c r="B6" s="7" t="inlineStr">
        <is>
          <t>成都潮流买手店</t>
        </is>
      </c>
      <c r="C6" s="7" t="inlineStr">
        <is>
          <t>四川</t>
        </is>
      </c>
      <c r="D6" s="7" t="inlineStr">
        <is>
          <t>买手店</t>
        </is>
      </c>
      <c r="E6" s="7" t="inlineStr">
        <is>
          <t>B级</t>
        </is>
      </c>
    </row>
    <row r="7">
      <c r="A7" s="7" t="inlineStr">
        <is>
          <t>CUS-004</t>
        </is>
      </c>
      <c r="B7" s="7" t="inlineStr">
        <is>
          <t>武汉汉正街档口</t>
        </is>
      </c>
      <c r="C7" s="7" t="inlineStr">
        <is>
          <t>湖北</t>
        </is>
      </c>
      <c r="D7" s="7" t="inlineStr">
        <is>
          <t>批发商</t>
        </is>
      </c>
      <c r="E7" s="7" t="inlineStr">
        <is>
          <t>A级</t>
        </is>
      </c>
    </row>
    <row r="8">
      <c r="A8" s="7" t="inlineStr">
        <is>
          <t>CUS-005</t>
        </is>
      </c>
      <c r="B8" s="7" t="inlineStr">
        <is>
          <t>长沙衣橱直播间</t>
        </is>
      </c>
      <c r="C8" s="7" t="inlineStr">
        <is>
          <t>湖南</t>
        </is>
      </c>
      <c r="D8" s="7" t="inlineStr">
        <is>
          <t>直播商家</t>
        </is>
      </c>
      <c r="E8" s="7" t="inlineStr">
        <is>
          <t>B级</t>
        </is>
      </c>
    </row>
    <row r="9">
      <c r="A9" s="7" t="inlineStr">
        <is>
          <t>CUS-006</t>
        </is>
      </c>
      <c r="B9" s="7" t="inlineStr">
        <is>
          <t>义乌小商品城店</t>
        </is>
      </c>
      <c r="C9" s="7" t="inlineStr">
        <is>
          <t>浙江</t>
        </is>
      </c>
      <c r="D9" s="7" t="inlineStr">
        <is>
          <t>批发商</t>
        </is>
      </c>
      <c r="E9" s="7" t="inlineStr">
        <is>
          <t>B级</t>
        </is>
      </c>
    </row>
    <row r="10">
      <c r="A10" s="7" t="inlineStr">
        <is>
          <t>CUS-007</t>
        </is>
      </c>
      <c r="B10" s="7" t="inlineStr">
        <is>
          <t>郑州银基商贸</t>
        </is>
      </c>
      <c r="C10" s="7" t="inlineStr">
        <is>
          <t>河南</t>
        </is>
      </c>
      <c r="D10" s="7" t="inlineStr">
        <is>
          <t>批发商</t>
        </is>
      </c>
      <c r="E10" s="7" t="inlineStr">
        <is>
          <t>A级</t>
        </is>
      </c>
    </row>
    <row r="11">
      <c r="A11" s="7" t="inlineStr">
        <is>
          <t>CUS-008</t>
        </is>
      </c>
      <c r="B11" s="7" t="inlineStr">
        <is>
          <t>上海线上分销商</t>
        </is>
      </c>
      <c r="C11" s="7" t="inlineStr">
        <is>
          <t>上海</t>
        </is>
      </c>
      <c r="D11" s="7" t="inlineStr">
        <is>
          <t>分销商</t>
        </is>
      </c>
      <c r="E11" s="7" t="inlineStr">
        <is>
          <t>A级</t>
        </is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13" customWidth="1" min="9" max="9"/>
  </cols>
  <sheetData>
    <row r="1" ht="30" customHeight="1">
      <c r="A1" s="3" t="inlineStr">
        <is>
          <t>退款售后 · 问题与处理状态</t>
        </is>
      </c>
    </row>
    <row r="3">
      <c r="A3" s="17" t="inlineStr">
        <is>
          <t>订单号</t>
        </is>
      </c>
      <c r="B3" s="17" t="inlineStr">
        <is>
          <t>订单日期</t>
        </is>
      </c>
      <c r="C3" s="17" t="inlineStr">
        <is>
          <t>客户编号</t>
        </is>
      </c>
      <c r="D3" s="17" t="inlineStr">
        <is>
          <t>款号</t>
        </is>
      </c>
      <c r="E3" s="17" t="inlineStr">
        <is>
          <t>退款数量</t>
        </is>
      </c>
      <c r="F3" s="17" t="inlineStr">
        <is>
          <t>退款金额</t>
        </is>
      </c>
      <c r="G3" s="17" t="inlineStr">
        <is>
          <t>退款原因</t>
        </is>
      </c>
      <c r="H3" s="17" t="inlineStr">
        <is>
          <t>处理状态</t>
        </is>
      </c>
      <c r="I3" s="17" t="inlineStr">
        <is>
          <t>申请日期</t>
        </is>
      </c>
    </row>
    <row r="4">
      <c r="A4" s="7" t="inlineStr">
        <is>
          <t>SO-202607-0001</t>
        </is>
      </c>
      <c r="B4" s="21" t="n">
        <v>46218</v>
      </c>
      <c r="C4" s="7" t="inlineStr">
        <is>
          <t>CUS-008</t>
        </is>
      </c>
      <c r="D4" s="7" t="inlineStr">
        <is>
          <t>FS-2410</t>
        </is>
      </c>
      <c r="E4" s="7" t="n">
        <v>1</v>
      </c>
      <c r="F4" s="22" t="n">
        <v>57</v>
      </c>
      <c r="G4" s="7" t="inlineStr">
        <is>
          <t>尺码不合适</t>
        </is>
      </c>
      <c r="H4" s="7" t="inlineStr">
        <is>
          <t>已退款</t>
        </is>
      </c>
      <c r="I4" s="21" t="n">
        <v>46229</v>
      </c>
    </row>
    <row r="5">
      <c r="A5" s="7" t="inlineStr">
        <is>
          <t>SO-202607-0012</t>
        </is>
      </c>
      <c r="B5" s="21" t="n">
        <v>46220</v>
      </c>
      <c r="C5" s="7" t="inlineStr">
        <is>
          <t>CUS-005</t>
        </is>
      </c>
      <c r="D5" s="7" t="inlineStr">
        <is>
          <t>FS-2407</t>
        </is>
      </c>
      <c r="E5" s="7" t="n">
        <v>2</v>
      </c>
      <c r="F5" s="22" t="n">
        <v>62</v>
      </c>
      <c r="G5" s="7" t="inlineStr">
        <is>
          <t>色差</t>
        </is>
      </c>
      <c r="H5" s="7" t="inlineStr">
        <is>
          <t>处理中</t>
        </is>
      </c>
      <c r="I5" s="21" t="n">
        <v>46230</v>
      </c>
    </row>
    <row r="6">
      <c r="A6" s="7" t="inlineStr">
        <is>
          <t>SO-202607-0023</t>
        </is>
      </c>
      <c r="B6" s="21" t="n">
        <v>46223</v>
      </c>
      <c r="C6" s="7" t="inlineStr">
        <is>
          <t>CUS-007</t>
        </is>
      </c>
      <c r="D6" s="7" t="inlineStr">
        <is>
          <t>FS-2411</t>
        </is>
      </c>
      <c r="E6" s="7" t="n">
        <v>1</v>
      </c>
      <c r="F6" s="22" t="n">
        <v>84</v>
      </c>
      <c r="G6" s="7" t="inlineStr">
        <is>
          <t>发错款</t>
        </is>
      </c>
      <c r="H6" s="7" t="inlineStr">
        <is>
          <t>已退款</t>
        </is>
      </c>
      <c r="I6" s="21" t="n">
        <v>46231</v>
      </c>
    </row>
    <row r="7">
      <c r="A7" s="7" t="inlineStr">
        <is>
          <t>SO-202607-0034</t>
        </is>
      </c>
      <c r="B7" s="21" t="n">
        <v>46226</v>
      </c>
      <c r="C7" s="7" t="inlineStr">
        <is>
          <t>CUS-001</t>
        </is>
      </c>
      <c r="D7" s="7" t="inlineStr">
        <is>
          <t>FS-2403</t>
        </is>
      </c>
      <c r="E7" s="7" t="n">
        <v>2</v>
      </c>
      <c r="F7" s="22" t="n">
        <v>74</v>
      </c>
      <c r="G7" s="7" t="inlineStr">
        <is>
          <t>质量问题</t>
        </is>
      </c>
      <c r="H7" s="7" t="inlineStr">
        <is>
          <t>处理中</t>
        </is>
      </c>
      <c r="I7" s="21" t="n">
        <v>46229</v>
      </c>
    </row>
    <row r="8">
      <c r="A8" s="7" t="inlineStr">
        <is>
          <t>SO-202607-0045</t>
        </is>
      </c>
      <c r="B8" s="21" t="n">
        <v>46229</v>
      </c>
      <c r="C8" s="7" t="inlineStr">
        <is>
          <t>CUS-003</t>
        </is>
      </c>
      <c r="D8" s="7" t="inlineStr">
        <is>
          <t>FS-2407</t>
        </is>
      </c>
      <c r="E8" s="7" t="n">
        <v>1</v>
      </c>
      <c r="F8" s="22" t="n">
        <v>31</v>
      </c>
      <c r="G8" s="7" t="inlineStr">
        <is>
          <t>物流破损</t>
        </is>
      </c>
      <c r="H8" s="7" t="inlineStr">
        <is>
          <t>已退款</t>
        </is>
      </c>
      <c r="I8" s="21" t="n">
        <v>46230</v>
      </c>
    </row>
    <row r="9">
      <c r="A9" s="7" t="inlineStr">
        <is>
          <t>SO-202607-0056</t>
        </is>
      </c>
      <c r="B9" s="21" t="n">
        <v>46231</v>
      </c>
      <c r="C9" s="7" t="inlineStr">
        <is>
          <t>CUS-008</t>
        </is>
      </c>
      <c r="D9" s="7" t="inlineStr">
        <is>
          <t>FS-2404</t>
        </is>
      </c>
      <c r="E9" s="7" t="n">
        <v>2</v>
      </c>
      <c r="F9" s="22" t="n">
        <v>140</v>
      </c>
      <c r="G9" s="7" t="inlineStr">
        <is>
          <t>不喜欢</t>
        </is>
      </c>
      <c r="H9" s="7" t="inlineStr">
        <is>
          <t>处理中</t>
        </is>
      </c>
      <c r="I9" s="21" t="n">
        <v>46231</v>
      </c>
    </row>
    <row r="10">
      <c r="A10" t="inlineStr">
        <is>
          <t>SO-202607-0057</t>
        </is>
      </c>
      <c r="B10" t="n">
        <v>46232</v>
      </c>
      <c r="C10" t="inlineStr">
        <is>
          <t>CUS-002</t>
        </is>
      </c>
      <c r="D10" t="inlineStr">
        <is>
          <t>FS-2408</t>
        </is>
      </c>
      <c r="E10" t="n">
        <v>1</v>
      </c>
      <c r="F10" t="n">
        <v>51</v>
      </c>
      <c r="G10" t="inlineStr">
        <is>
          <t>质量问题</t>
        </is>
      </c>
      <c r="H10" t="inlineStr">
        <is>
          <t>处理中</t>
        </is>
      </c>
      <c r="I10" t="n">
        <v>46232</v>
      </c>
    </row>
    <row r="11">
      <c r="A11" t="inlineStr">
        <is>
          <t>SO-202607-0057</t>
        </is>
      </c>
      <c r="B11" t="n">
        <v>46232</v>
      </c>
      <c r="C11" t="inlineStr">
        <is>
          <t>CUS-002</t>
        </is>
      </c>
      <c r="D11" t="inlineStr">
        <is>
          <t>FS-2408</t>
        </is>
      </c>
      <c r="E11" t="n">
        <v>1</v>
      </c>
      <c r="F11" t="n">
        <v>51</v>
      </c>
      <c r="G11" t="inlineStr">
        <is>
          <t>质量问题</t>
        </is>
      </c>
      <c r="H11" t="inlineStr">
        <is>
          <t>处理中</t>
        </is>
      </c>
      <c r="I11" t="n">
        <v>46232</v>
      </c>
    </row>
    <row r="12">
      <c r="A12" t="inlineStr">
        <is>
          <t>SO-202607-0057</t>
        </is>
      </c>
      <c r="B12" t="n">
        <v>46232</v>
      </c>
      <c r="C12" t="inlineStr">
        <is>
          <t>CUS-002</t>
        </is>
      </c>
      <c r="D12" t="inlineStr">
        <is>
          <t>FS-2408</t>
        </is>
      </c>
      <c r="E12" t="n">
        <v>1</v>
      </c>
      <c r="F12" t="n">
        <v>51</v>
      </c>
      <c r="G12" t="inlineStr">
        <is>
          <t>质量问题</t>
        </is>
      </c>
      <c r="H12" t="inlineStr">
        <is>
          <t>处理中</t>
        </is>
      </c>
      <c r="I12" t="n">
        <v>46232</v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2026-07-29T02:54:50Z</dcterms:created>
  <dcterms:modified xsi:type="dcterms:W3CDTF">2026-07-29T02:55:41Z</dcterms:modified>
</cp:coreProperties>
</file>