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75e3f4803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看板" sheetId="1" r:id="R072d89af122f4c8e"/>
    <x:sheet xmlns:r="http://schemas.openxmlformats.org/officeDocument/2006/relationships" name="库存明细" sheetId="2" r:id="Rb915fa98006f4e5e"/>
    <x:sheet xmlns:r="http://schemas.openxmlformats.org/officeDocument/2006/relationships" name="商品档案" sheetId="3" r:id="Rda2f97fc5d3944dc"/>
    <x:sheet xmlns:r="http://schemas.openxmlformats.org/officeDocument/2006/relationships" name="采购明细" sheetId="4" r:id="R3d8c1baa7d264905"/>
    <x:sheet xmlns:r="http://schemas.openxmlformats.org/officeDocument/2006/relationships" name="入库明细" sheetId="5" r:id="R4dfd51dbd9a34068"/>
    <x:sheet xmlns:r="http://schemas.openxmlformats.org/officeDocument/2006/relationships" name="销售订单" sheetId="6" r:id="R526834f8618747bf"/>
    <x:sheet xmlns:r="http://schemas.openxmlformats.org/officeDocument/2006/relationships" name="客户档案" sheetId="7" r:id="R2792e9aa845c4275"/>
    <x:sheet xmlns:r="http://schemas.openxmlformats.org/officeDocument/2006/relationships" name="退款售后" sheetId="8" r:id="Rf21793393c66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563E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17c036d0a4bb3" /><Relationship Type="http://schemas.openxmlformats.org/officeDocument/2006/relationships/theme" Target="/xl/theme/theme1.xml" Id="R2c9d60df7c4244d2" /><Relationship Type="http://schemas.openxmlformats.org/officeDocument/2006/relationships/sharedStrings" Target="/xl/sharedStrings.xml" Id="Rf9ba9767d1614751" /><Relationship Type="http://schemas.openxmlformats.org/officeDocument/2006/relationships/worksheet" Target="/xl/worksheets/sheet1.xml" Id="R072d89af122f4c8e" /><Relationship Type="http://schemas.openxmlformats.org/officeDocument/2006/relationships/worksheet" Target="/xl/worksheets/sheet2.xml" Id="Rb915fa98006f4e5e" /><Relationship Type="http://schemas.openxmlformats.org/officeDocument/2006/relationships/worksheet" Target="/xl/worksheets/sheet3.xml" Id="Rda2f97fc5d3944dc" /><Relationship Type="http://schemas.openxmlformats.org/officeDocument/2006/relationships/worksheet" Target="/xl/worksheets/sheet4.xml" Id="R3d8c1baa7d264905" /><Relationship Type="http://schemas.openxmlformats.org/officeDocument/2006/relationships/worksheet" Target="/xl/worksheets/sheet5.xml" Id="R4dfd51dbd9a34068" /><Relationship Type="http://schemas.openxmlformats.org/officeDocument/2006/relationships/worksheet" Target="/xl/worksheets/sheet6.xml" Id="R526834f8618747bf" /><Relationship Type="http://schemas.openxmlformats.org/officeDocument/2006/relationships/worksheet" Target="/xl/worksheets/sheet7.xml" Id="R2792e9aa845c4275" /><Relationship Type="http://schemas.openxmlformats.org/officeDocument/2006/relationships/worksheet" Target="/xl/worksheets/sheet8.xml" Id="Rf21793393c66454b" /></Relationships>
</file>

<file path=xl/tables/table1.xml><?xml version="1.0" encoding="utf-8"?>
<x:table xmlns:x="http://schemas.openxmlformats.org/spreadsheetml/2006/main" id="1" name="库存明细Table" displayName="库存明细Table" ref="A3:J15" headerRowCount="1" totalsRowCount="0" totalsRowShown="0">
  <x:tableColumns count="10">
    <x:tableColumn id="1" name="款号"/>
    <x:tableColumn id="2" name="商品名称"/>
    <x:tableColumn id="3" name="仓库"/>
    <x:tableColumn id="4" name="累计入库"/>
    <x:tableColumn id="5" name="近14天销量"/>
    <x:tableColumn id="6" name="锁定库存"/>
    <x:tableColumn id="7" name="可售库存"/>
    <x:tableColumn id="8" name="安全库存"/>
    <x:tableColumn id="9" name="库存状态"/>
    <x:tableColumn id="10" name="更新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商品档案Table" displayName="商品档案Table" ref="A3:G15" headerRowCount="1" totalsRowCount="0" totalsRowShown="0">
  <x:tableColumns count="7">
    <x:tableColumn id="1" name="款号"/>
    <x:tableColumn id="2" name="商品名称"/>
    <x:tableColumn id="3" name="品类"/>
    <x:tableColumn id="4" name="供应商"/>
    <x:tableColumn id="5" name="建议进货价"/>
    <x:tableColumn id="6" name="建议批发价"/>
    <x:tableColumn id="7" name="商品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采购明细Table" displayName="采购明细Table" ref="A3:I15" headerRowCount="1" totalsRowCount="0" totalsRowShown="0">
  <x:tableColumns count="9">
    <x:tableColumn id="1" name="采购单号"/>
    <x:tableColumn id="2" name="款号"/>
    <x:tableColumn id="3" name="供应商"/>
    <x:tableColumn id="4" name="进货数量"/>
    <x:tableColumn id="5" name="进货单价"/>
    <x:tableColumn id="6" name="进货金额"/>
    <x:tableColumn id="7" name="日期"/>
    <x:tableColumn id="8" name="到货状态"/>
    <x:tableColumn id="9" name="入库仓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入库明细Table" displayName="入库明细Table" ref="A3:G15" headerRowCount="1" totalsRowCount="0" totalsRowShown="0">
  <x:tableColumns count="7">
    <x:tableColumn id="1" name="入库单号"/>
    <x:tableColumn id="2" name="采购单号"/>
    <x:tableColumn id="3" name="款号"/>
    <x:tableColumn id="4" name="入库数量"/>
    <x:tableColumn id="5" name="仓库"/>
    <x:tableColumn id="6" name="入库日期"/>
    <x:tableColumn id="7" name="质检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销售订单Table" displayName="销售订单Table" ref="A3:N59" headerRowCount="1" totalsRowCount="0" totalsRowShown="0">
  <x:tableColumns count="14">
    <x:tableColumn id="1" name="订单号"/>
    <x:tableColumn id="2" name="订单日期"/>
    <x:tableColumn id="3" name="客户编号"/>
    <x:tableColumn id="4" name="客户名称"/>
    <x:tableColumn id="5" name="款号"/>
    <x:tableColumn id="6" name="商品名称"/>
    <x:tableColumn id="7" name="销售数量"/>
    <x:tableColumn id="8" name="批发单价"/>
    <x:tableColumn id="9" name="折扣率"/>
    <x:tableColumn id="10" name="优惠金额"/>
    <x:tableColumn id="11" name="运费"/>
    <x:tableColumn id="12" name="实收金额"/>
    <x:tableColumn id="13" name="订单状态"/>
    <x:tableColumn id="14" name="销售渠道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客户档案Table" displayName="客户档案Table" ref="A3:E11" headerRowCount="1" totalsRowCount="0" totalsRowShown="0">
  <x:tableColumns count="5">
    <x:tableColumn id="1" name="客户编号"/>
    <x:tableColumn id="2" name="客户名称"/>
    <x:tableColumn id="3" name="省份"/>
    <x:tableColumn id="4" name="客户类型"/>
    <x:tableColumn id="5" name="客户等级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退款售后Table" displayName="退款售后Table" ref="A3:I9" headerRowCount="1" totalsRowCount="0" totalsRowShown="0">
  <x:tableColumns count="9">
    <x:tableColumn id="1" name="订单号"/>
    <x:tableColumn id="2" name="订单日期"/>
    <x:tableColumn id="3" name="客户编号"/>
    <x:tableColumn id="4" name="款号"/>
    <x:tableColumn id="5" name="退款数量"/>
    <x:tableColumn id="6" name="退款金额"/>
    <x:tableColumn id="7" name="退款原因"/>
    <x:tableColumn id="8" name="处理状态"/>
    <x:tableColumn id="9" name="申请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cc3423129f46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e08df71c4b46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a9e218460441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ee8752c58d4f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9805f13c4c42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7b01d1f01e4b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f6539a66794d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" hidden="0" customWidth="1"/>
    <x:col min="4" max="4" width="18" hidden="0" customWidth="1"/>
    <x:col min="5" max="5" width="26" hidden="0" customWidth="1"/>
    <x:col min="6" max="6" width="14" hidden="0" customWidth="1"/>
    <x:col min="7" max="7" width="14" hidden="0" customWidth="1"/>
    <x:col min="8" max="8" width="14" hidden="0" customWidth="1"/>
    <x:col min="9" max="9" width="4" hidden="0" customWidth="1"/>
    <x:col min="10" max="10" width="18" hidden="0" customWidth="1"/>
    <x:col min="11" max="11" width="26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3" t="str">
        <x:v>2026 年 7 月 · 电商服装批发经营看板</x:v>
      </x:c>
    </x:row>
    <x:row r="3">
      <x:c r="A3" s="6" t="str">
        <x:v>本月核心指标</x:v>
      </x:c>
      <x:c r="B3" s="6" t="str">
        <x:v>数值</x:v>
      </x:c>
      <x:c r="D3" s="6" t="str">
        <x:v>款号</x:v>
      </x:c>
      <x:c r="E3" s="6" t="str">
        <x:v>商品名称</x:v>
      </x:c>
      <x:c r="F3" s="6" t="str">
        <x:v>近14天销量</x:v>
      </x:c>
      <x:c r="G3" s="6" t="str">
        <x:v>可售库存</x:v>
      </x:c>
      <x:c r="H3" s="6" t="str">
        <x:v>库存状态</x:v>
      </x:c>
      <x:c r="J3" s="13" t="str">
        <x:v>测试用法</x:v>
      </x:c>
      <x:c r="K3" s="13" t="str">
        <x:v>说明</x:v>
      </x:c>
    </x:row>
    <x:row r="4">
      <x:c r="A4" s="9" t="str">
        <x:v>销售订单数</x:v>
      </x:c>
      <x:c r="B4" s="11" t="n">
        <x:f>COUNTA('销售订单'!A4:A59)</x:f>
        <x:v>56</x:v>
      </x:c>
      <x:c r="D4" s="7" t="str">
        <x:f>'库存明细'!A4</x:f>
        <x:v>FS-2401</x:v>
      </x:c>
      <x:c r="E4" s="7" t="str">
        <x:f>'库存明细'!B4</x:f>
        <x:v>复古水洗直筒牛仔裤</x:v>
      </x:c>
      <x:c r="F4" s="7" t="n">
        <x:f>'库存明细'!E4</x:f>
        <x:v>76</x:v>
      </x:c>
      <x:c r="G4" s="7" t="n">
        <x:f>'库存明细'!G4</x:f>
        <x:v>54</x:v>
      </x:c>
      <x:c r="H4" s="7" t="str">
        <x:f>'库存明细'!I4</x:f>
        <x:v>正常</x:v>
      </x:c>
      <x:c r="J4" s="14" t="str">
        <x:v>1. 扫描</x:v>
      </x:c>
      <x:c r="K4" s="14" t="str">
        <x:v>先运行 WorkBuddy Skill 的 inspect</x:v>
      </x:c>
    </x:row>
    <x:row r="5">
      <x:c r="A5" s="9" t="str">
        <x:v>销售金额</x:v>
      </x:c>
      <x:c r="B5" s="11" t="n">
        <x:f>SUM('销售订单'!L4:L59)</x:f>
        <x:v>35799.84</x:v>
      </x:c>
      <x:c r="D5" s="7" t="str">
        <x:f>'库存明细'!A5</x:f>
        <x:v>FS-2402</x:v>
      </x:c>
      <x:c r="E5" s="7" t="str">
        <x:f>'库存明细'!B5</x:f>
        <x:v>法式方领碎花连衣裙</x:v>
      </x:c>
      <x:c r="F5" s="7" t="n">
        <x:f>'库存明细'!E5</x:f>
        <x:v>39</x:v>
      </x:c>
      <x:c r="G5" s="7" t="n">
        <x:f>'库存明细'!G5</x:f>
        <x:v>103</x:v>
      </x:c>
      <x:c r="H5" s="7" t="str">
        <x:f>'库存明细'!I5</x:f>
        <x:v>正常</x:v>
      </x:c>
      <x:c r="J5" s="14" t="str">
        <x:v>2. 确认关联</x:v>
      </x:c>
      <x:c r="K5" s="14" t="str">
        <x:v>确认采购、入库、销售、库存的款号关系</x:v>
      </x:c>
    </x:row>
    <x:row r="6">
      <x:c r="A6" s="9" t="str">
        <x:v>销售件数</x:v>
      </x:c>
      <x:c r="B6" s="11" t="n">
        <x:f>SUM('销售订单'!G4:G59)</x:f>
        <x:v>588</x:v>
      </x:c>
      <x:c r="D6" s="7" t="str">
        <x:f>'库存明细'!A6</x:f>
        <x:v>FS-2403</x:v>
      </x:c>
      <x:c r="E6" s="7" t="str">
        <x:f>'库存明细'!B6</x:f>
        <x:v>宽松纯棉印花T恤</x:v>
      </x:c>
      <x:c r="F6" s="7" t="n">
        <x:f>'库存明细'!E6</x:f>
        <x:v>34</x:v>
      </x:c>
      <x:c r="G6" s="7" t="n">
        <x:f>'库存明细'!G6</x:f>
        <x:v>120</x:v>
      </x:c>
      <x:c r="H6" s="7" t="str">
        <x:f>'库存明细'!I6</x:f>
        <x:v>正常</x:v>
      </x:c>
      <x:c r="J6" s="14" t="str">
        <x:v>3. 提问</x:v>
      </x:c>
      <x:c r="K6" s="14" t="str">
        <x:v>例如：本周销量前十但库存低于20的款有哪些？</x:v>
      </x:c>
    </x:row>
    <x:row r="7">
      <x:c r="A7" s="9" t="str">
        <x:v>退款金额</x:v>
      </x:c>
      <x:c r="B7" s="11" t="n">
        <x:f>SUM('退款售后'!F4:F9)</x:f>
        <x:v>448</x:v>
      </x:c>
      <x:c r="D7" s="7" t="str">
        <x:f>'库存明细'!A7</x:f>
        <x:v>FS-2404</x:v>
      </x:c>
      <x:c r="E7" s="7" t="str">
        <x:f>'库存明细'!B7</x:f>
        <x:v>高腰阔腿西装裤</x:v>
      </x:c>
      <x:c r="F7" s="7" t="n">
        <x:f>'库存明细'!E7</x:f>
        <x:v>79</x:v>
      </x:c>
      <x:c r="G7" s="7" t="n">
        <x:f>'库存明细'!G7</x:f>
        <x:v>87</x:v>
      </x:c>
      <x:c r="H7" s="7" t="str">
        <x:f>'库存明细'!I7</x:f>
        <x:v>正常</x:v>
      </x:c>
    </x:row>
    <x:row r="8">
      <x:c r="A8" s="9" t="str">
        <x:v>库存预警款数</x:v>
      </x:c>
      <x:c r="B8" s="11" t="n">
        <x:f>COUNTIF('库存明细'!I4:I15,"需补货")</x:f>
        <x:v>0</x:v>
      </x:c>
      <x:c r="D8" s="7" t="str">
        <x:f>'库存明细'!A8</x:f>
        <x:v>FS-2405</x:v>
      </x:c>
      <x:c r="E8" s="7" t="str">
        <x:f>'库存明细'!B8</x:f>
        <x:v>冰丝针织开衫</x:v>
      </x:c>
      <x:c r="F8" s="7" t="n">
        <x:f>'库存明细'!E8</x:f>
        <x:v>28</x:v>
      </x:c>
      <x:c r="G8" s="7" t="n">
        <x:f>'库存明细'!G8</x:f>
        <x:v>150</x:v>
      </x:c>
      <x:c r="H8" s="7" t="str">
        <x:f>'库存明细'!I8</x:f>
        <x:v>正常</x:v>
      </x:c>
    </x:row>
    <x:row r="9">
      <x:c r="A9" s="9" t="str">
        <x:v>采购金额</x:v>
      </x:c>
      <x:c r="B9" s="11" t="n">
        <x:f>SUM('采购明细'!F4:F15)</x:f>
        <x:v>84188</x:v>
      </x:c>
      <x:c r="D9" s="7" t="str">
        <x:f>'库存明细'!A9</x:f>
        <x:v>FS-2406</x:v>
      </x:c>
      <x:c r="E9" s="7" t="str">
        <x:f>'库存明细'!B9</x:f>
        <x:v>港风短袖衬衫</x:v>
      </x:c>
      <x:c r="F9" s="7" t="n">
        <x:f>'库存明细'!E9</x:f>
        <x:v>38</x:v>
      </x:c>
      <x:c r="G9" s="7" t="n">
        <x:f>'库存明细'!G9</x:f>
        <x:v>152</x:v>
      </x:c>
      <x:c r="H9" s="7" t="str">
        <x:f>'库存明细'!I9</x:f>
        <x:v>正常</x:v>
      </x:c>
    </x:row>
    <x:row r="10">
      <x:c r="D10" s="7" t="str">
        <x:f>'库存明细'!A10</x:f>
        <x:v>FS-2407</x:v>
      </x:c>
      <x:c r="E10" s="7" t="str">
        <x:f>'库存明细'!B10</x:f>
        <x:v>基础百搭背心</x:v>
      </x:c>
      <x:c r="F10" s="7" t="n">
        <x:f>'库存明细'!E10</x:f>
        <x:v>64</x:v>
      </x:c>
      <x:c r="G10" s="7" t="n">
        <x:f>'库存明细'!G10</x:f>
        <x:v>138</x:v>
      </x:c>
      <x:c r="H10" s="7" t="str">
        <x:f>'库存明细'!I10</x:f>
        <x:v>正常</x:v>
      </x:c>
    </x:row>
    <x:row r="11">
      <x:c r="D11" s="7" t="str">
        <x:f>'库存明细'!A11</x:f>
        <x:v>FS-2408</x:v>
      </x:c>
      <x:c r="E11" s="7" t="str">
        <x:f>'库存明细'!B11</x:f>
        <x:v>运动速干短裤</x:v>
      </x:c>
      <x:c r="F11" s="7" t="n">
        <x:f>'库存明细'!E11</x:f>
        <x:v>38</x:v>
      </x:c>
      <x:c r="G11" s="7" t="n">
        <x:f>'库存明细'!G11</x:f>
        <x:v>176</x:v>
      </x:c>
      <x:c r="H11" s="7" t="str">
        <x:f>'库存明细'!I11</x:f>
        <x:v>正常</x:v>
      </x:c>
    </x:row>
    <x:row r="12">
      <x:c r="D12" s="7" t="str">
        <x:f>'库存明细'!A12</x:f>
        <x:v>FS-2409</x:v>
      </x:c>
      <x:c r="E12" s="7" t="str">
        <x:f>'库存明细'!B12</x:f>
        <x:v>垂感醋酸半身裙</x:v>
      </x:c>
      <x:c r="F12" s="7" t="n">
        <x:f>'库存明细'!E12</x:f>
        <x:v>36</x:v>
      </x:c>
      <x:c r="G12" s="7" t="n">
        <x:f>'库存明细'!G12</x:f>
        <x:v>190</x:v>
      </x:c>
      <x:c r="H12" s="7" t="str">
        <x:f>'库存明细'!I12</x:f>
        <x:v>正常</x:v>
      </x:c>
    </x:row>
    <x:row r="13">
      <x:c r="D13" s="7" t="str">
        <x:f>'库存明细'!A13</x:f>
        <x:v>FS-2410</x:v>
      </x:c>
      <x:c r="E13" s="7" t="str">
        <x:f>'库存明细'!B13</x:f>
        <x:v>轻薄防晒衬衣</x:v>
      </x:c>
      <x:c r="F13" s="7" t="n">
        <x:f>'库存明细'!E13</x:f>
        <x:v>75</x:v>
      </x:c>
      <x:c r="G13" s="7" t="n">
        <x:f>'库存明细'!G13</x:f>
        <x:v>163</x:v>
      </x:c>
      <x:c r="H13" s="7" t="str">
        <x:f>'库存明细'!I13</x:f>
        <x:v>正常</x:v>
      </x:c>
    </x:row>
    <x:row r="14">
      <x:c r="D14" s="7" t="str">
        <x:f>'库存明细'!A14</x:f>
        <x:v>FS-2411</x:v>
      </x:c>
      <x:c r="E14" s="7" t="str">
        <x:f>'库存明细'!B14</x:f>
        <x:v>美式宽松卫衣</x:v>
      </x:c>
      <x:c r="F14" s="7" t="n">
        <x:f>'库存明细'!E14</x:f>
        <x:v>42</x:v>
      </x:c>
      <x:c r="G14" s="7" t="n">
        <x:f>'库存明细'!G14</x:f>
        <x:v>208</x:v>
      </x:c>
      <x:c r="H14" s="7" t="str">
        <x:f>'库存明细'!I14</x:f>
        <x:v>正常</x:v>
      </x:c>
    </x:row>
    <x:row r="15">
      <x:c r="D15" s="7" t="str">
        <x:f>'库存明细'!A15</x:f>
        <x:v>FS-2412</x:v>
      </x:c>
      <x:c r="E15" s="7" t="str">
        <x:f>'库存明细'!B15</x:f>
        <x:v>格纹百褶短裙</x:v>
      </x:c>
      <x:c r="F15" s="7" t="n">
        <x:f>'库存明细'!E15</x:f>
        <x:v>39</x:v>
      </x:c>
      <x:c r="G15" s="7" t="n">
        <x:f>'库存明细'!G15</x:f>
        <x:v>223</x:v>
      </x:c>
      <x:c r="H15" s="7" t="str">
        <x:f>'库存明细'!I15</x:f>
        <x:v>正常</x:v>
      </x:c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</x:cols>
  <x:sheetData>
    <x:row r="1" ht="30" customHeight="1">
      <x:c r="A1" s="3" t="str">
        <x:v>库存明细 · 可售库存与补货预警</x:v>
      </x:c>
    </x:row>
    <x:row r="3">
      <x:c r="A3" s="17" t="str">
        <x:v>款号</x:v>
      </x:c>
      <x:c r="B3" s="17" t="str">
        <x:v>商品名称</x:v>
      </x:c>
      <x:c r="C3" s="17" t="str">
        <x:v>仓库</x:v>
      </x:c>
      <x:c r="D3" s="17" t="str">
        <x:v>累计入库</x:v>
      </x:c>
      <x:c r="E3" s="17" t="str">
        <x:v>近14天销量</x:v>
      </x:c>
      <x:c r="F3" s="17" t="str">
        <x:v>锁定库存</x:v>
      </x:c>
      <x:c r="G3" s="17" t="str">
        <x:v>可售库存</x:v>
      </x:c>
      <x:c r="H3" s="17" t="str">
        <x:v>安全库存</x:v>
      </x:c>
      <x:c r="I3" s="17" t="str">
        <x:v>库存状态</x:v>
      </x:c>
      <x:c r="J3" s="17" t="str">
        <x:v>更新时间</x:v>
      </x:c>
    </x:row>
    <x:row r="4">
      <x:c r="A4" s="7" t="str">
        <x:v>FS-2401</x:v>
      </x:c>
      <x:c r="B4" s="7" t="str">
        <x:v>复古水洗直筒牛仔裤</x:v>
      </x:c>
      <x:c r="C4" s="7" t="str">
        <x:v>广州仓</x:v>
      </x:c>
      <x:c r="D4" s="7" t="n">
        <x:v>130</x:v>
      </x:c>
      <x:c r="E4" s="7" t="n">
        <x:v>76</x:v>
      </x:c>
      <x:c r="F4" s="7" t="n">
        <x:v>0</x:v>
      </x:c>
      <x:c r="G4" s="7" t="n">
        <x:v>54</x:v>
      </x:c>
      <x:c r="H4" s="7" t="n">
        <x:v>20</x:v>
      </x:c>
      <x:c r="I4" s="7" t="str">
        <x:v>正常</x:v>
      </x:c>
      <x:c r="J4" s="18" t="n">
        <x:v>46231</x:v>
      </x:c>
    </x:row>
    <x:row r="5">
      <x:c r="A5" s="7" t="str">
        <x:v>FS-2402</x:v>
      </x:c>
      <x:c r="B5" s="7" t="str">
        <x:v>法式方领碎花连衣裙</x:v>
      </x:c>
      <x:c r="C5" s="7" t="str">
        <x:v>广州仓</x:v>
      </x:c>
      <x:c r="D5" s="7" t="n">
        <x:v>142</x:v>
      </x:c>
      <x:c r="E5" s="7" t="n">
        <x:v>39</x:v>
      </x:c>
      <x:c r="F5" s="7" t="n">
        <x:v>0</x:v>
      </x:c>
      <x:c r="G5" s="7" t="n">
        <x:v>103</x:v>
      </x:c>
      <x:c r="H5" s="7" t="n">
        <x:v>18</x:v>
      </x:c>
      <x:c r="I5" s="7" t="str">
        <x:v>正常</x:v>
      </x:c>
      <x:c r="J5" s="18" t="n">
        <x:v>46231</x:v>
      </x:c>
    </x:row>
    <x:row r="6">
      <x:c r="A6" s="7" t="str">
        <x:v>FS-2403</x:v>
      </x:c>
      <x:c r="B6" s="7" t="str">
        <x:v>宽松纯棉印花T恤</x:v>
      </x:c>
      <x:c r="C6" s="7" t="str">
        <x:v>广州仓</x:v>
      </x:c>
      <x:c r="D6" s="7" t="n">
        <x:v>154</x:v>
      </x:c>
      <x:c r="E6" s="7" t="n">
        <x:v>34</x:v>
      </x:c>
      <x:c r="F6" s="7" t="n">
        <x:v>0</x:v>
      </x:c>
      <x:c r="G6" s="7" t="n">
        <x:v>120</x:v>
      </x:c>
      <x:c r="H6" s="7" t="n">
        <x:v>35</x:v>
      </x:c>
      <x:c r="I6" s="7" t="str">
        <x:v>正常</x:v>
      </x:c>
      <x:c r="J6" s="18" t="n">
        <x:v>46231</x:v>
      </x:c>
    </x:row>
    <x:row r="7">
      <x:c r="A7" s="7" t="str">
        <x:v>FS-2404</x:v>
      </x:c>
      <x:c r="B7" s="7" t="str">
        <x:v>高腰阔腿西装裤</x:v>
      </x:c>
      <x:c r="C7" s="7" t="str">
        <x:v>广州仓</x:v>
      </x:c>
      <x:c r="D7" s="7" t="n">
        <x:v>166</x:v>
      </x:c>
      <x:c r="E7" s="7" t="n">
        <x:v>79</x:v>
      </x:c>
      <x:c r="F7" s="7" t="n">
        <x:v>0</x:v>
      </x:c>
      <x:c r="G7" s="7" t="n">
        <x:v>87</x:v>
      </x:c>
      <x:c r="H7" s="7" t="n">
        <x:v>20</x:v>
      </x:c>
      <x:c r="I7" s="7" t="str">
        <x:v>正常</x:v>
      </x:c>
      <x:c r="J7" s="18" t="n">
        <x:v>46231</x:v>
      </x:c>
    </x:row>
    <x:row r="8">
      <x:c r="A8" s="7" t="str">
        <x:v>FS-2405</x:v>
      </x:c>
      <x:c r="B8" s="7" t="str">
        <x:v>冰丝针织开衫</x:v>
      </x:c>
      <x:c r="C8" s="7" t="str">
        <x:v>广州仓</x:v>
      </x:c>
      <x:c r="D8" s="7" t="n">
        <x:v>178</x:v>
      </x:c>
      <x:c r="E8" s="7" t="n">
        <x:v>28</x:v>
      </x:c>
      <x:c r="F8" s="7" t="n">
        <x:v>0</x:v>
      </x:c>
      <x:c r="G8" s="7" t="n">
        <x:v>150</x:v>
      </x:c>
      <x:c r="H8" s="7" t="n">
        <x:v>25</x:v>
      </x:c>
      <x:c r="I8" s="7" t="str">
        <x:v>正常</x:v>
      </x:c>
      <x:c r="J8" s="18" t="n">
        <x:v>46231</x:v>
      </x:c>
    </x:row>
    <x:row r="9">
      <x:c r="A9" s="7" t="str">
        <x:v>FS-2406</x:v>
      </x:c>
      <x:c r="B9" s="7" t="str">
        <x:v>港风短袖衬衫</x:v>
      </x:c>
      <x:c r="C9" s="7" t="str">
        <x:v>广州仓</x:v>
      </x:c>
      <x:c r="D9" s="7" t="n">
        <x:v>190</x:v>
      </x:c>
      <x:c r="E9" s="7" t="n">
        <x:v>38</x:v>
      </x:c>
      <x:c r="F9" s="7" t="n">
        <x:v>0</x:v>
      </x:c>
      <x:c r="G9" s="7" t="n">
        <x:v>152</x:v>
      </x:c>
      <x:c r="H9" s="7" t="n">
        <x:v>22</x:v>
      </x:c>
      <x:c r="I9" s="7" t="str">
        <x:v>正常</x:v>
      </x:c>
      <x:c r="J9" s="18" t="n">
        <x:v>46231</x:v>
      </x:c>
    </x:row>
    <x:row r="10">
      <x:c r="A10" s="7" t="str">
        <x:v>FS-2407</x:v>
      </x:c>
      <x:c r="B10" s="7" t="str">
        <x:v>基础百搭背心</x:v>
      </x:c>
      <x:c r="C10" s="7" t="str">
        <x:v>广州仓</x:v>
      </x:c>
      <x:c r="D10" s="7" t="n">
        <x:v>202</x:v>
      </x:c>
      <x:c r="E10" s="7" t="n">
        <x:v>64</x:v>
      </x:c>
      <x:c r="F10" s="7" t="n">
        <x:v>0</x:v>
      </x:c>
      <x:c r="G10" s="7" t="n">
        <x:v>138</x:v>
      </x:c>
      <x:c r="H10" s="7" t="n">
        <x:v>40</x:v>
      </x:c>
      <x:c r="I10" s="7" t="str">
        <x:v>正常</x:v>
      </x:c>
      <x:c r="J10" s="18" t="n">
        <x:v>46231</x:v>
      </x:c>
    </x:row>
    <x:row r="11">
      <x:c r="A11" s="7" t="str">
        <x:v>FS-2408</x:v>
      </x:c>
      <x:c r="B11" s="7" t="str">
        <x:v>运动速干短裤</x:v>
      </x:c>
      <x:c r="C11" s="7" t="str">
        <x:v>广州仓</x:v>
      </x:c>
      <x:c r="D11" s="7" t="n">
        <x:v>214</x:v>
      </x:c>
      <x:c r="E11" s="7" t="n">
        <x:v>38</x:v>
      </x:c>
      <x:c r="F11" s="7" t="n">
        <x:v>0</x:v>
      </x:c>
      <x:c r="G11" s="7" t="n">
        <x:v>176</x:v>
      </x:c>
      <x:c r="H11" s="7" t="n">
        <x:v>28</x:v>
      </x:c>
      <x:c r="I11" s="7" t="str">
        <x:v>正常</x:v>
      </x:c>
      <x:c r="J11" s="18" t="n">
        <x:v>46231</x:v>
      </x:c>
    </x:row>
    <x:row r="12">
      <x:c r="A12" s="7" t="str">
        <x:v>FS-2409</x:v>
      </x:c>
      <x:c r="B12" s="7" t="str">
        <x:v>垂感醋酸半身裙</x:v>
      </x:c>
      <x:c r="C12" s="7" t="str">
        <x:v>广州仓</x:v>
      </x:c>
      <x:c r="D12" s="7" t="n">
        <x:v>226</x:v>
      </x:c>
      <x:c r="E12" s="7" t="n">
        <x:v>36</x:v>
      </x:c>
      <x:c r="F12" s="7" t="n">
        <x:v>0</x:v>
      </x:c>
      <x:c r="G12" s="7" t="n">
        <x:v>190</x:v>
      </x:c>
      <x:c r="H12" s="7" t="n">
        <x:v>18</x:v>
      </x:c>
      <x:c r="I12" s="7" t="str">
        <x:v>正常</x:v>
      </x:c>
      <x:c r="J12" s="18" t="n">
        <x:v>46231</x:v>
      </x:c>
    </x:row>
    <x:row r="13">
      <x:c r="A13" s="7" t="str">
        <x:v>FS-2410</x:v>
      </x:c>
      <x:c r="B13" s="7" t="str">
        <x:v>轻薄防晒衬衣</x:v>
      </x:c>
      <x:c r="C13" s="7" t="str">
        <x:v>广州仓</x:v>
      </x:c>
      <x:c r="D13" s="7" t="n">
        <x:v>238</x:v>
      </x:c>
      <x:c r="E13" s="7" t="n">
        <x:v>75</x:v>
      </x:c>
      <x:c r="F13" s="7" t="n">
        <x:v>0</x:v>
      </x:c>
      <x:c r="G13" s="7" t="n">
        <x:v>163</x:v>
      </x:c>
      <x:c r="H13" s="7" t="n">
        <x:v>24</x:v>
      </x:c>
      <x:c r="I13" s="7" t="str">
        <x:v>正常</x:v>
      </x:c>
      <x:c r="J13" s="18" t="n">
        <x:v>46231</x:v>
      </x:c>
    </x:row>
    <x:row r="14">
      <x:c r="A14" s="7" t="str">
        <x:v>FS-2411</x:v>
      </x:c>
      <x:c r="B14" s="7" t="str">
        <x:v>美式宽松卫衣</x:v>
      </x:c>
      <x:c r="C14" s="7" t="str">
        <x:v>广州仓</x:v>
      </x:c>
      <x:c r="D14" s="7" t="n">
        <x:v>250</x:v>
      </x:c>
      <x:c r="E14" s="7" t="n">
        <x:v>42</x:v>
      </x:c>
      <x:c r="F14" s="7" t="n">
        <x:v>0</x:v>
      </x:c>
      <x:c r="G14" s="7" t="n">
        <x:v>208</x:v>
      </x:c>
      <x:c r="H14" s="7" t="n">
        <x:v>30</x:v>
      </x:c>
      <x:c r="I14" s="7" t="str">
        <x:v>正常</x:v>
      </x:c>
      <x:c r="J14" s="18" t="n">
        <x:v>46231</x:v>
      </x:c>
    </x:row>
    <x:row r="15">
      <x:c r="A15" s="7" t="str">
        <x:v>FS-2412</x:v>
      </x:c>
      <x:c r="B15" s="7" t="str">
        <x:v>格纹百褶短裙</x:v>
      </x:c>
      <x:c r="C15" s="7" t="str">
        <x:v>广州仓</x:v>
      </x:c>
      <x:c r="D15" s="7" t="n">
        <x:v>262</x:v>
      </x:c>
      <x:c r="E15" s="7" t="n">
        <x:v>39</x:v>
      </x:c>
      <x:c r="F15" s="7" t="n">
        <x:v>0</x:v>
      </x:c>
      <x:c r="G15" s="7" t="n">
        <x:v>223</x:v>
      </x:c>
      <x:c r="H15" s="7" t="n">
        <x:v>16</x:v>
      </x:c>
      <x:c r="I15" s="7" t="str">
        <x:v>正常</x:v>
      </x:c>
      <x:c r="J15" s="18" t="n">
        <x:v>46231</x:v>
      </x:c>
    </x:row>
  </x:sheetData>
  <x:mergeCells>
    <x:mergeCell ref="A1:N1"/>
  </x:mergeCells>
  <x:conditionalFormatting sqref="I4:I15">
    <x:cfRule type="containsText" dxfId="0" priority="1" operator="containsText" text="需补货"/>
  </x:conditionalFormatting>
  <x:pageMargins left="0.7" right="0.7" top="0.75" bottom="0.75" header="0.3" footer="0.3"/>
  <x:tableParts count="1">
    <x:tablePart xmlns:r="http://schemas.openxmlformats.org/officeDocument/2006/relationships" r:id="R1acc3423129f46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20" hidden="0" customWidth="1"/>
    <x:col min="5" max="5" width="14" hidden="0" customWidth="1"/>
    <x:col min="6" max="6" width="14" hidden="0" customWidth="1"/>
    <x:col min="7" max="7" width="12" hidden="0" customWidth="1"/>
  </x:cols>
  <x:sheetData>
    <x:row r="1" ht="30" customHeight="1">
      <x:c r="A1" s="3" t="str">
        <x:v>商品档案 · SKU 主数据</x:v>
      </x:c>
    </x:row>
    <x:row r="3">
      <x:c r="A3" s="17" t="str">
        <x:v>款号</x:v>
      </x:c>
      <x:c r="B3" s="17" t="str">
        <x:v>商品名称</x:v>
      </x:c>
      <x:c r="C3" s="17" t="str">
        <x:v>品类</x:v>
      </x:c>
      <x:c r="D3" s="17" t="str">
        <x:v>供应商</x:v>
      </x:c>
      <x:c r="E3" s="17" t="str">
        <x:v>建议进货价</x:v>
      </x:c>
      <x:c r="F3" s="17" t="str">
        <x:v>建议批发价</x:v>
      </x:c>
      <x:c r="G3" s="17" t="str">
        <x:v>商品状态</x:v>
      </x:c>
    </x:row>
    <x:row r="4">
      <x:c r="A4" s="7" t="str">
        <x:v>FS-2401</x:v>
      </x:c>
      <x:c r="B4" s="7" t="str">
        <x:v>复古水洗直筒牛仔裤</x:v>
      </x:c>
      <x:c r="C4" s="7" t="str">
        <x:v>女装</x:v>
      </x:c>
      <x:c r="D4" s="7" t="str">
        <x:v>广州优衣供应链</x:v>
      </x:c>
      <x:c r="E4" s="19" t="n">
        <x:v>45</x:v>
      </x:c>
      <x:c r="F4" s="19" t="n">
        <x:v>89</x:v>
      </x:c>
      <x:c r="G4" s="7" t="str">
        <x:v>主推</x:v>
      </x:c>
    </x:row>
    <x:row r="5">
      <x:c r="A5" s="7" t="str">
        <x:v>FS-2402</x:v>
      </x:c>
      <x:c r="B5" s="7" t="str">
        <x:v>法式方领碎花连衣裙</x:v>
      </x:c>
      <x:c r="C5" s="7" t="str">
        <x:v>女装</x:v>
      </x:c>
      <x:c r="D5" s="7" t="str">
        <x:v>杭州潮品厂</x:v>
      </x:c>
      <x:c r="E5" s="19" t="n">
        <x:v>38</x:v>
      </x:c>
      <x:c r="F5" s="19" t="n">
        <x:v>76</x:v>
      </x:c>
      <x:c r="G5" s="7" t="str">
        <x:v>主推</x:v>
      </x:c>
    </x:row>
    <x:row r="6">
      <x:c r="A6" s="7" t="str">
        <x:v>FS-2403</x:v>
      </x:c>
      <x:c r="B6" s="7" t="str">
        <x:v>宽松纯棉印花T恤</x:v>
      </x:c>
      <x:c r="C6" s="7" t="str">
        <x:v>女装</x:v>
      </x:c>
      <x:c r="D6" s="7" t="str">
        <x:v>东莞棉感制衣</x:v>
      </x:c>
      <x:c r="E6" s="19" t="n">
        <x:v>22</x:v>
      </x:c>
      <x:c r="F6" s="19" t="n">
        <x:v>45</x:v>
      </x:c>
      <x:c r="G6" s="7" t="str">
        <x:v>常规</x:v>
      </x:c>
    </x:row>
    <x:row r="7">
      <x:c r="A7" s="7" t="str">
        <x:v>FS-2404</x:v>
      </x:c>
      <x:c r="B7" s="7" t="str">
        <x:v>高腰阔腿西装裤</x:v>
      </x:c>
      <x:c r="C7" s="7" t="str">
        <x:v>女装</x:v>
      </x:c>
      <x:c r="D7" s="7" t="str">
        <x:v>广州优衣供应链</x:v>
      </x:c>
      <x:c r="E7" s="19" t="n">
        <x:v>42</x:v>
      </x:c>
      <x:c r="F7" s="19" t="n">
        <x:v>78</x:v>
      </x:c>
      <x:c r="G7" s="7" t="str">
        <x:v>主推</x:v>
      </x:c>
    </x:row>
    <x:row r="8">
      <x:c r="A8" s="7" t="str">
        <x:v>FS-2405</x:v>
      </x:c>
      <x:c r="B8" s="7" t="str">
        <x:v>冰丝针织开衫</x:v>
      </x:c>
      <x:c r="C8" s="7" t="str">
        <x:v>女装</x:v>
      </x:c>
      <x:c r="D8" s="7" t="str">
        <x:v>杭州潮品厂</x:v>
      </x:c>
      <x:c r="E8" s="19" t="n">
        <x:v>35</x:v>
      </x:c>
      <x:c r="F8" s="19" t="n">
        <x:v>69</x:v>
      </x:c>
      <x:c r="G8" s="7" t="str">
        <x:v>常规</x:v>
      </x:c>
    </x:row>
    <x:row r="9">
      <x:c r="A9" s="7" t="str">
        <x:v>FS-2406</x:v>
      </x:c>
      <x:c r="B9" s="7" t="str">
        <x:v>港风短袖衬衫</x:v>
      </x:c>
      <x:c r="C9" s="7" t="str">
        <x:v>男装</x:v>
      </x:c>
      <x:c r="D9" s="7" t="str">
        <x:v>深圳潮男工坊</x:v>
      </x:c>
      <x:c r="E9" s="19" t="n">
        <x:v>39</x:v>
      </x:c>
      <x:c r="F9" s="19" t="n">
        <x:v>72</x:v>
      </x:c>
      <x:c r="G9" s="7" t="str">
        <x:v>主推</x:v>
      </x:c>
    </x:row>
    <x:row r="10">
      <x:c r="A10" s="7" t="str">
        <x:v>FS-2407</x:v>
      </x:c>
      <x:c r="B10" s="7" t="str">
        <x:v>基础百搭背心</x:v>
      </x:c>
      <x:c r="C10" s="7" t="str">
        <x:v>女装</x:v>
      </x:c>
      <x:c r="D10" s="7" t="str">
        <x:v>东莞棉感制衣</x:v>
      </x:c>
      <x:c r="E10" s="19" t="n">
        <x:v>16</x:v>
      </x:c>
      <x:c r="F10" s="19" t="n">
        <x:v>35</x:v>
      </x:c>
      <x:c r="G10" s="7" t="str">
        <x:v>引流</x:v>
      </x:c>
    </x:row>
    <x:row r="11">
      <x:c r="A11" s="7" t="str">
        <x:v>FS-2408</x:v>
      </x:c>
      <x:c r="B11" s="7" t="str">
        <x:v>运动速干短裤</x:v>
      </x:c>
      <x:c r="C11" s="7" t="str">
        <x:v>男装</x:v>
      </x:c>
      <x:c r="D11" s="7" t="str">
        <x:v>深圳潮男工坊</x:v>
      </x:c>
      <x:c r="E11" s="19" t="n">
        <x:v>28</x:v>
      </x:c>
      <x:c r="F11" s="19" t="n">
        <x:v>59</x:v>
      </x:c>
      <x:c r="G11" s="7" t="str">
        <x:v>常规</x:v>
      </x:c>
    </x:row>
    <x:row r="12">
      <x:c r="A12" s="7" t="str">
        <x:v>FS-2409</x:v>
      </x:c>
      <x:c r="B12" s="7" t="str">
        <x:v>垂感醋酸半身裙</x:v>
      </x:c>
      <x:c r="C12" s="7" t="str">
        <x:v>女装</x:v>
      </x:c>
      <x:c r="D12" s="7" t="str">
        <x:v>杭州潮品厂</x:v>
      </x:c>
      <x:c r="E12" s="19" t="n">
        <x:v>45</x:v>
      </x:c>
      <x:c r="F12" s="19" t="n">
        <x:v>85</x:v>
      </x:c>
      <x:c r="G12" s="7" t="str">
        <x:v>常规</x:v>
      </x:c>
    </x:row>
    <x:row r="13">
      <x:c r="A13" s="7" t="str">
        <x:v>FS-2410</x:v>
      </x:c>
      <x:c r="B13" s="7" t="str">
        <x:v>轻薄防晒衬衣</x:v>
      </x:c>
      <x:c r="C13" s="7" t="str">
        <x:v>女装</x:v>
      </x:c>
      <x:c r="D13" s="7" t="str">
        <x:v>广州优衣供应链</x:v>
      </x:c>
      <x:c r="E13" s="19" t="n">
        <x:v>32</x:v>
      </x:c>
      <x:c r="F13" s="19" t="n">
        <x:v>65</x:v>
      </x:c>
      <x:c r="G13" s="7" t="str">
        <x:v>主推</x:v>
      </x:c>
    </x:row>
    <x:row r="14">
      <x:c r="A14" s="7" t="str">
        <x:v>FS-2411</x:v>
      </x:c>
      <x:c r="B14" s="7" t="str">
        <x:v>美式宽松卫衣</x:v>
      </x:c>
      <x:c r="C14" s="7" t="str">
        <x:v>男女同款</x:v>
      </x:c>
      <x:c r="D14" s="7" t="str">
        <x:v>东莞棉感制衣</x:v>
      </x:c>
      <x:c r="E14" s="19" t="n">
        <x:v>50</x:v>
      </x:c>
      <x:c r="F14" s="19" t="n">
        <x:v>92</x:v>
      </x:c>
      <x:c r="G14" s="7" t="str">
        <x:v>新品</x:v>
      </x:c>
    </x:row>
    <x:row r="15">
      <x:c r="A15" s="7" t="str">
        <x:v>FS-2412</x:v>
      </x:c>
      <x:c r="B15" s="7" t="str">
        <x:v>格纹百褶短裙</x:v>
      </x:c>
      <x:c r="C15" s="7" t="str">
        <x:v>女装</x:v>
      </x:c>
      <x:c r="D15" s="7" t="str">
        <x:v>杭州潮品厂</x:v>
      </x:c>
      <x:c r="E15" s="19" t="n">
        <x:v>36</x:v>
      </x:c>
      <x:c r="F15" s="19" t="n">
        <x:v>70</x:v>
      </x:c>
      <x:c r="G15" s="7" t="str">
        <x:v>新品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3fe08df71c4b46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12" hidden="0" customWidth="1"/>
  </x:cols>
  <x:sheetData>
    <x:row r="1" ht="30" customHeight="1">
      <x:c r="A1" s="3" t="str">
        <x:v>采购明细 · 进货与供应商对账</x:v>
      </x:c>
    </x:row>
    <x:row r="3">
      <x:c r="A3" s="17" t="str">
        <x:v>采购单号</x:v>
      </x:c>
      <x:c r="B3" s="17" t="str">
        <x:v>款号</x:v>
      </x:c>
      <x:c r="C3" s="17" t="str">
        <x:v>供应商</x:v>
      </x:c>
      <x:c r="D3" s="17" t="str">
        <x:v>进货数量</x:v>
      </x:c>
      <x:c r="E3" s="17" t="str">
        <x:v>进货单价</x:v>
      </x:c>
      <x:c r="F3" s="17" t="str">
        <x:v>进货金额</x:v>
      </x:c>
      <x:c r="G3" s="17" t="str">
        <x:v>日期</x:v>
      </x:c>
      <x:c r="H3" s="17" t="str">
        <x:v>到货状态</x:v>
      </x:c>
      <x:c r="I3" s="17" t="str">
        <x:v>入库仓</x:v>
      </x:c>
    </x:row>
    <x:row r="4">
      <x:c r="A4" s="7" t="str">
        <x:v>PO-202607-001</x:v>
      </x:c>
      <x:c r="B4" s="7" t="str">
        <x:v>FS-2401</x:v>
      </x:c>
      <x:c r="C4" s="7" t="str">
        <x:v>广州优衣供应链</x:v>
      </x:c>
      <x:c r="D4" s="7" t="n">
        <x:v>130</x:v>
      </x:c>
      <x:c r="E4" s="19" t="n">
        <x:v>45</x:v>
      </x:c>
      <x:c r="F4" s="19" t="n">
        <x:v>5850</x:v>
      </x:c>
      <x:c r="G4" s="18" t="n">
        <x:v>46205</x:v>
      </x:c>
      <x:c r="H4" s="7" t="str">
        <x:v>已到货</x:v>
      </x:c>
      <x:c r="I4" s="7" t="str">
        <x:v>广州仓</x:v>
      </x:c>
    </x:row>
    <x:row r="5">
      <x:c r="A5" s="7" t="str">
        <x:v>PO-202607-002</x:v>
      </x:c>
      <x:c r="B5" s="7" t="str">
        <x:v>FS-2402</x:v>
      </x:c>
      <x:c r="C5" s="7" t="str">
        <x:v>杭州潮品厂</x:v>
      </x:c>
      <x:c r="D5" s="7" t="n">
        <x:v>142</x:v>
      </x:c>
      <x:c r="E5" s="19" t="n">
        <x:v>38</x:v>
      </x:c>
      <x:c r="F5" s="19" t="n">
        <x:v>5396</x:v>
      </x:c>
      <x:c r="G5" s="18" t="n">
        <x:v>46206</x:v>
      </x:c>
      <x:c r="H5" s="7" t="str">
        <x:v>已到货</x:v>
      </x:c>
      <x:c r="I5" s="7" t="str">
        <x:v>广州仓</x:v>
      </x:c>
    </x:row>
    <x:row r="6">
      <x:c r="A6" s="7" t="str">
        <x:v>PO-202607-003</x:v>
      </x:c>
      <x:c r="B6" s="7" t="str">
        <x:v>FS-2403</x:v>
      </x:c>
      <x:c r="C6" s="7" t="str">
        <x:v>东莞棉感制衣</x:v>
      </x:c>
      <x:c r="D6" s="7" t="n">
        <x:v>154</x:v>
      </x:c>
      <x:c r="E6" s="19" t="n">
        <x:v>22</x:v>
      </x:c>
      <x:c r="F6" s="19" t="n">
        <x:v>3388</x:v>
      </x:c>
      <x:c r="G6" s="18" t="n">
        <x:v>46207</x:v>
      </x:c>
      <x:c r="H6" s="7" t="str">
        <x:v>已到货</x:v>
      </x:c>
      <x:c r="I6" s="7" t="str">
        <x:v>广州仓</x:v>
      </x:c>
    </x:row>
    <x:row r="7">
      <x:c r="A7" s="7" t="str">
        <x:v>PO-202607-004</x:v>
      </x:c>
      <x:c r="B7" s="7" t="str">
        <x:v>FS-2404</x:v>
      </x:c>
      <x:c r="C7" s="7" t="str">
        <x:v>广州优衣供应链</x:v>
      </x:c>
      <x:c r="D7" s="7" t="n">
        <x:v>166</x:v>
      </x:c>
      <x:c r="E7" s="19" t="n">
        <x:v>42</x:v>
      </x:c>
      <x:c r="F7" s="19" t="n">
        <x:v>6972</x:v>
      </x:c>
      <x:c r="G7" s="18" t="n">
        <x:v>46208</x:v>
      </x:c>
      <x:c r="H7" s="7" t="str">
        <x:v>已到货</x:v>
      </x:c>
      <x:c r="I7" s="7" t="str">
        <x:v>广州仓</x:v>
      </x:c>
    </x:row>
    <x:row r="8">
      <x:c r="A8" s="7" t="str">
        <x:v>PO-202607-005</x:v>
      </x:c>
      <x:c r="B8" s="7" t="str">
        <x:v>FS-2405</x:v>
      </x:c>
      <x:c r="C8" s="7" t="str">
        <x:v>杭州潮品厂</x:v>
      </x:c>
      <x:c r="D8" s="7" t="n">
        <x:v>178</x:v>
      </x:c>
      <x:c r="E8" s="19" t="n">
        <x:v>35</x:v>
      </x:c>
      <x:c r="F8" s="19" t="n">
        <x:v>6230</x:v>
      </x:c>
      <x:c r="G8" s="18" t="n">
        <x:v>46209</x:v>
      </x:c>
      <x:c r="H8" s="7" t="str">
        <x:v>已到货</x:v>
      </x:c>
      <x:c r="I8" s="7" t="str">
        <x:v>广州仓</x:v>
      </x:c>
    </x:row>
    <x:row r="9">
      <x:c r="A9" s="7" t="str">
        <x:v>PO-202607-006</x:v>
      </x:c>
      <x:c r="B9" s="7" t="str">
        <x:v>FS-2406</x:v>
      </x:c>
      <x:c r="C9" s="7" t="str">
        <x:v>深圳潮男工坊</x:v>
      </x:c>
      <x:c r="D9" s="7" t="n">
        <x:v>190</x:v>
      </x:c>
      <x:c r="E9" s="19" t="n">
        <x:v>39</x:v>
      </x:c>
      <x:c r="F9" s="19" t="n">
        <x:v>7410</x:v>
      </x:c>
      <x:c r="G9" s="18" t="n">
        <x:v>46210</x:v>
      </x:c>
      <x:c r="H9" s="7" t="str">
        <x:v>已到货</x:v>
      </x:c>
      <x:c r="I9" s="7" t="str">
        <x:v>广州仓</x:v>
      </x:c>
    </x:row>
    <x:row r="10">
      <x:c r="A10" s="7" t="str">
        <x:v>PO-202607-007</x:v>
      </x:c>
      <x:c r="B10" s="7" t="str">
        <x:v>FS-2407</x:v>
      </x:c>
      <x:c r="C10" s="7" t="str">
        <x:v>东莞棉感制衣</x:v>
      </x:c>
      <x:c r="D10" s="7" t="n">
        <x:v>202</x:v>
      </x:c>
      <x:c r="E10" s="19" t="n">
        <x:v>16</x:v>
      </x:c>
      <x:c r="F10" s="19" t="n">
        <x:v>3232</x:v>
      </x:c>
      <x:c r="G10" s="18" t="n">
        <x:v>46211</x:v>
      </x:c>
      <x:c r="H10" s="7" t="str">
        <x:v>已到货</x:v>
      </x:c>
      <x:c r="I10" s="7" t="str">
        <x:v>广州仓</x:v>
      </x:c>
    </x:row>
    <x:row r="11">
      <x:c r="A11" s="7" t="str">
        <x:v>PO-202607-008</x:v>
      </x:c>
      <x:c r="B11" s="7" t="str">
        <x:v>FS-2408</x:v>
      </x:c>
      <x:c r="C11" s="7" t="str">
        <x:v>深圳潮男工坊</x:v>
      </x:c>
      <x:c r="D11" s="7" t="n">
        <x:v>214</x:v>
      </x:c>
      <x:c r="E11" s="19" t="n">
        <x:v>28</x:v>
      </x:c>
      <x:c r="F11" s="19" t="n">
        <x:v>5992</x:v>
      </x:c>
      <x:c r="G11" s="18" t="n">
        <x:v>46212</x:v>
      </x:c>
      <x:c r="H11" s="7" t="str">
        <x:v>已到货</x:v>
      </x:c>
      <x:c r="I11" s="7" t="str">
        <x:v>广州仓</x:v>
      </x:c>
    </x:row>
    <x:row r="12">
      <x:c r="A12" s="7" t="str">
        <x:v>PO-202607-009</x:v>
      </x:c>
      <x:c r="B12" s="7" t="str">
        <x:v>FS-2409</x:v>
      </x:c>
      <x:c r="C12" s="7" t="str">
        <x:v>杭州潮品厂</x:v>
      </x:c>
      <x:c r="D12" s="7" t="n">
        <x:v>226</x:v>
      </x:c>
      <x:c r="E12" s="19" t="n">
        <x:v>45</x:v>
      </x:c>
      <x:c r="F12" s="19" t="n">
        <x:v>10170</x:v>
      </x:c>
      <x:c r="G12" s="18" t="n">
        <x:v>46213</x:v>
      </x:c>
      <x:c r="H12" s="7" t="str">
        <x:v>已到货</x:v>
      </x:c>
      <x:c r="I12" s="7" t="str">
        <x:v>广州仓</x:v>
      </x:c>
    </x:row>
    <x:row r="13">
      <x:c r="A13" s="7" t="str">
        <x:v>PO-202607-010</x:v>
      </x:c>
      <x:c r="B13" s="7" t="str">
        <x:v>FS-2410</x:v>
      </x:c>
      <x:c r="C13" s="7" t="str">
        <x:v>广州优衣供应链</x:v>
      </x:c>
      <x:c r="D13" s="7" t="n">
        <x:v>238</x:v>
      </x:c>
      <x:c r="E13" s="19" t="n">
        <x:v>32</x:v>
      </x:c>
      <x:c r="F13" s="19" t="n">
        <x:v>7616</x:v>
      </x:c>
      <x:c r="G13" s="18" t="n">
        <x:v>46214</x:v>
      </x:c>
      <x:c r="H13" s="7" t="str">
        <x:v>已到货</x:v>
      </x:c>
      <x:c r="I13" s="7" t="str">
        <x:v>广州仓</x:v>
      </x:c>
    </x:row>
    <x:row r="14">
      <x:c r="A14" s="7" t="str">
        <x:v>PO-202607-011</x:v>
      </x:c>
      <x:c r="B14" s="7" t="str">
        <x:v>FS-2411</x:v>
      </x:c>
      <x:c r="C14" s="7" t="str">
        <x:v>东莞棉感制衣</x:v>
      </x:c>
      <x:c r="D14" s="7" t="n">
        <x:v>250</x:v>
      </x:c>
      <x:c r="E14" s="19" t="n">
        <x:v>50</x:v>
      </x:c>
      <x:c r="F14" s="19" t="n">
        <x:v>12500</x:v>
      </x:c>
      <x:c r="G14" s="18" t="n">
        <x:v>46215</x:v>
      </x:c>
      <x:c r="H14" s="7" t="str">
        <x:v>已到货</x:v>
      </x:c>
      <x:c r="I14" s="7" t="str">
        <x:v>广州仓</x:v>
      </x:c>
    </x:row>
    <x:row r="15">
      <x:c r="A15" s="7" t="str">
        <x:v>PO-202607-012</x:v>
      </x:c>
      <x:c r="B15" s="7" t="str">
        <x:v>FS-2412</x:v>
      </x:c>
      <x:c r="C15" s="7" t="str">
        <x:v>杭州潮品厂</x:v>
      </x:c>
      <x:c r="D15" s="7" t="n">
        <x:v>262</x:v>
      </x:c>
      <x:c r="E15" s="19" t="n">
        <x:v>36</x:v>
      </x:c>
      <x:c r="F15" s="19" t="n">
        <x:v>9432</x:v>
      </x:c>
      <x:c r="G15" s="18" t="n">
        <x:v>46216</x:v>
      </x:c>
      <x:c r="H15" s="7" t="str">
        <x:v>已到货</x:v>
      </x:c>
      <x:c r="I15" s="7" t="str">
        <x:v>广州仓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0ca9e218460441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</x:cols>
  <x:sheetData>
    <x:row r="1" ht="30" customHeight="1">
      <x:c r="A1" s="3" t="str">
        <x:v>入库明细 · 仓库收货记录</x:v>
      </x:c>
    </x:row>
    <x:row r="3">
      <x:c r="A3" s="17" t="str">
        <x:v>入库单号</x:v>
      </x:c>
      <x:c r="B3" s="17" t="str">
        <x:v>采购单号</x:v>
      </x:c>
      <x:c r="C3" s="17" t="str">
        <x:v>款号</x:v>
      </x:c>
      <x:c r="D3" s="17" t="str">
        <x:v>入库数量</x:v>
      </x:c>
      <x:c r="E3" s="17" t="str">
        <x:v>仓库</x:v>
      </x:c>
      <x:c r="F3" s="17" t="str">
        <x:v>入库日期</x:v>
      </x:c>
      <x:c r="G3" s="17" t="str">
        <x:v>质检状态</x:v>
      </x:c>
    </x:row>
    <x:row r="4">
      <x:c r="A4" s="7" t="str">
        <x:v>IN-202607-001</x:v>
      </x:c>
      <x:c r="B4" s="7" t="str">
        <x:v>PO-202607-001</x:v>
      </x:c>
      <x:c r="C4" s="7" t="str">
        <x:v>FS-2401</x:v>
      </x:c>
      <x:c r="D4" s="7" t="n">
        <x:v>130</x:v>
      </x:c>
      <x:c r="E4" s="7" t="str">
        <x:v>广州仓</x:v>
      </x:c>
      <x:c r="F4" s="18" t="n">
        <x:v>46206</x:v>
      </x:c>
      <x:c r="G4" s="7" t="str">
        <x:v>质检通过</x:v>
      </x:c>
    </x:row>
    <x:row r="5">
      <x:c r="A5" s="7" t="str">
        <x:v>IN-202607-002</x:v>
      </x:c>
      <x:c r="B5" s="7" t="str">
        <x:v>PO-202607-002</x:v>
      </x:c>
      <x:c r="C5" s="7" t="str">
        <x:v>FS-2402</x:v>
      </x:c>
      <x:c r="D5" s="7" t="n">
        <x:v>142</x:v>
      </x:c>
      <x:c r="E5" s="7" t="str">
        <x:v>广州仓</x:v>
      </x:c>
      <x:c r="F5" s="18" t="n">
        <x:v>46207</x:v>
      </x:c>
      <x:c r="G5" s="7" t="str">
        <x:v>质检通过</x:v>
      </x:c>
    </x:row>
    <x:row r="6">
      <x:c r="A6" s="7" t="str">
        <x:v>IN-202607-003</x:v>
      </x:c>
      <x:c r="B6" s="7" t="str">
        <x:v>PO-202607-003</x:v>
      </x:c>
      <x:c r="C6" s="7" t="str">
        <x:v>FS-2403</x:v>
      </x:c>
      <x:c r="D6" s="7" t="n">
        <x:v>154</x:v>
      </x:c>
      <x:c r="E6" s="7" t="str">
        <x:v>广州仓</x:v>
      </x:c>
      <x:c r="F6" s="18" t="n">
        <x:v>46208</x:v>
      </x:c>
      <x:c r="G6" s="7" t="str">
        <x:v>质检通过</x:v>
      </x:c>
    </x:row>
    <x:row r="7">
      <x:c r="A7" s="7" t="str">
        <x:v>IN-202607-004</x:v>
      </x:c>
      <x:c r="B7" s="7" t="str">
        <x:v>PO-202607-004</x:v>
      </x:c>
      <x:c r="C7" s="7" t="str">
        <x:v>FS-2404</x:v>
      </x:c>
      <x:c r="D7" s="7" t="n">
        <x:v>166</x:v>
      </x:c>
      <x:c r="E7" s="7" t="str">
        <x:v>广州仓</x:v>
      </x:c>
      <x:c r="F7" s="18" t="n">
        <x:v>46209</x:v>
      </x:c>
      <x:c r="G7" s="7" t="str">
        <x:v>质检通过</x:v>
      </x:c>
    </x:row>
    <x:row r="8">
      <x:c r="A8" s="7" t="str">
        <x:v>IN-202607-005</x:v>
      </x:c>
      <x:c r="B8" s="7" t="str">
        <x:v>PO-202607-005</x:v>
      </x:c>
      <x:c r="C8" s="7" t="str">
        <x:v>FS-2405</x:v>
      </x:c>
      <x:c r="D8" s="7" t="n">
        <x:v>178</x:v>
      </x:c>
      <x:c r="E8" s="7" t="str">
        <x:v>广州仓</x:v>
      </x:c>
      <x:c r="F8" s="18" t="n">
        <x:v>46210</x:v>
      </x:c>
      <x:c r="G8" s="7" t="str">
        <x:v>质检通过</x:v>
      </x:c>
    </x:row>
    <x:row r="9">
      <x:c r="A9" s="7" t="str">
        <x:v>IN-202607-006</x:v>
      </x:c>
      <x:c r="B9" s="7" t="str">
        <x:v>PO-202607-006</x:v>
      </x:c>
      <x:c r="C9" s="7" t="str">
        <x:v>FS-2406</x:v>
      </x:c>
      <x:c r="D9" s="7" t="n">
        <x:v>190</x:v>
      </x:c>
      <x:c r="E9" s="7" t="str">
        <x:v>广州仓</x:v>
      </x:c>
      <x:c r="F9" s="18" t="n">
        <x:v>46211</x:v>
      </x:c>
      <x:c r="G9" s="7" t="str">
        <x:v>质检通过</x:v>
      </x:c>
    </x:row>
    <x:row r="10">
      <x:c r="A10" s="7" t="str">
        <x:v>IN-202607-007</x:v>
      </x:c>
      <x:c r="B10" s="7" t="str">
        <x:v>PO-202607-007</x:v>
      </x:c>
      <x:c r="C10" s="7" t="str">
        <x:v>FS-2407</x:v>
      </x:c>
      <x:c r="D10" s="7" t="n">
        <x:v>202</x:v>
      </x:c>
      <x:c r="E10" s="7" t="str">
        <x:v>广州仓</x:v>
      </x:c>
      <x:c r="F10" s="18" t="n">
        <x:v>46212</x:v>
      </x:c>
      <x:c r="G10" s="7" t="str">
        <x:v>质检通过</x:v>
      </x:c>
    </x:row>
    <x:row r="11">
      <x:c r="A11" s="7" t="str">
        <x:v>IN-202607-008</x:v>
      </x:c>
      <x:c r="B11" s="7" t="str">
        <x:v>PO-202607-008</x:v>
      </x:c>
      <x:c r="C11" s="7" t="str">
        <x:v>FS-2408</x:v>
      </x:c>
      <x:c r="D11" s="7" t="n">
        <x:v>214</x:v>
      </x:c>
      <x:c r="E11" s="7" t="str">
        <x:v>广州仓</x:v>
      </x:c>
      <x:c r="F11" s="18" t="n">
        <x:v>46213</x:v>
      </x:c>
      <x:c r="G11" s="7" t="str">
        <x:v>质检通过</x:v>
      </x:c>
    </x:row>
    <x:row r="12">
      <x:c r="A12" s="7" t="str">
        <x:v>IN-202607-009</x:v>
      </x:c>
      <x:c r="B12" s="7" t="str">
        <x:v>PO-202607-009</x:v>
      </x:c>
      <x:c r="C12" s="7" t="str">
        <x:v>FS-2409</x:v>
      </x:c>
      <x:c r="D12" s="7" t="n">
        <x:v>226</x:v>
      </x:c>
      <x:c r="E12" s="7" t="str">
        <x:v>广州仓</x:v>
      </x:c>
      <x:c r="F12" s="18" t="n">
        <x:v>46214</x:v>
      </x:c>
      <x:c r="G12" s="7" t="str">
        <x:v>质检通过</x:v>
      </x:c>
    </x:row>
    <x:row r="13">
      <x:c r="A13" s="7" t="str">
        <x:v>IN-202607-010</x:v>
      </x:c>
      <x:c r="B13" s="7" t="str">
        <x:v>PO-202607-010</x:v>
      </x:c>
      <x:c r="C13" s="7" t="str">
        <x:v>FS-2410</x:v>
      </x:c>
      <x:c r="D13" s="7" t="n">
        <x:v>238</x:v>
      </x:c>
      <x:c r="E13" s="7" t="str">
        <x:v>广州仓</x:v>
      </x:c>
      <x:c r="F13" s="18" t="n">
        <x:v>46215</x:v>
      </x:c>
      <x:c r="G13" s="7" t="str">
        <x:v>质检通过</x:v>
      </x:c>
    </x:row>
    <x:row r="14">
      <x:c r="A14" s="7" t="str">
        <x:v>IN-202607-011</x:v>
      </x:c>
      <x:c r="B14" s="7" t="str">
        <x:v>PO-202607-011</x:v>
      </x:c>
      <x:c r="C14" s="7" t="str">
        <x:v>FS-2411</x:v>
      </x:c>
      <x:c r="D14" s="7" t="n">
        <x:v>250</x:v>
      </x:c>
      <x:c r="E14" s="7" t="str">
        <x:v>广州仓</x:v>
      </x:c>
      <x:c r="F14" s="18" t="n">
        <x:v>46216</x:v>
      </x:c>
      <x:c r="G14" s="7" t="str">
        <x:v>质检通过</x:v>
      </x:c>
    </x:row>
    <x:row r="15">
      <x:c r="A15" s="7" t="str">
        <x:v>IN-202607-012</x:v>
      </x:c>
      <x:c r="B15" s="7" t="str">
        <x:v>PO-202607-012</x:v>
      </x:c>
      <x:c r="C15" s="7" t="str">
        <x:v>FS-2412</x:v>
      </x:c>
      <x:c r="D15" s="7" t="n">
        <x:v>262</x:v>
      </x:c>
      <x:c r="E15" s="7" t="str">
        <x:v>广州仓</x:v>
      </x:c>
      <x:c r="F15" s="18" t="n">
        <x:v>46217</x:v>
      </x:c>
      <x:c r="G15" s="7" t="str">
        <x:v>质检通过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51ee8752c58d4f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22" hidden="0" customWidth="1"/>
    <x:col min="5" max="5" width="14" hidden="0" customWidth="1"/>
    <x:col min="6" max="6" width="26" hidden="0" customWidth="1"/>
    <x:col min="7" max="7" width="12" hidden="0" customWidth="1"/>
    <x:col min="8" max="8" width="12" hidden="0" customWidth="1"/>
    <x:col min="9" max="9" width="10" hidden="0" customWidth="1"/>
    <x:col min="10" max="10" width="12" hidden="0" customWidth="1"/>
    <x:col min="11" max="11" width="10" hidden="0" customWidth="1"/>
    <x:col min="12" max="12" width="14" hidden="0" customWidth="1"/>
    <x:col min="13" max="13" width="12" hidden="0" customWidth="1"/>
    <x:col min="14" max="14" width="13" hidden="0" customWidth="1"/>
  </x:cols>
  <x:sheetData>
    <x:row r="1" ht="30" customHeight="1">
      <x:c r="A1" s="3" t="str">
        <x:v>销售订单 · 渠道与客户销售明细</x:v>
      </x:c>
    </x:row>
    <x:row r="3">
      <x:c r="A3" s="17" t="str">
        <x:v>订单号</x:v>
      </x:c>
      <x:c r="B3" s="17" t="str">
        <x:v>订单日期</x:v>
      </x:c>
      <x:c r="C3" s="17" t="str">
        <x:v>客户编号</x:v>
      </x:c>
      <x:c r="D3" s="17" t="str">
        <x:v>客户名称</x:v>
      </x:c>
      <x:c r="E3" s="17" t="str">
        <x:v>款号</x:v>
      </x:c>
      <x:c r="F3" s="17" t="str">
        <x:v>商品名称</x:v>
      </x:c>
      <x:c r="G3" s="17" t="str">
        <x:v>销售数量</x:v>
      </x:c>
      <x:c r="H3" s="17" t="str">
        <x:v>批发单价</x:v>
      </x:c>
      <x:c r="I3" s="17" t="str">
        <x:v>折扣率</x:v>
      </x:c>
      <x:c r="J3" s="17" t="str">
        <x:v>优惠金额</x:v>
      </x:c>
      <x:c r="K3" s="17" t="str">
        <x:v>运费</x:v>
      </x:c>
      <x:c r="L3" s="17" t="str">
        <x:v>实收金额</x:v>
      </x:c>
      <x:c r="M3" s="17" t="str">
        <x:v>订单状态</x:v>
      </x:c>
      <x:c r="N3" s="17" t="str">
        <x:v>销售渠道</x:v>
      </x:c>
    </x:row>
    <x:row r="4">
      <x:c r="A4" s="7" t="str">
        <x:v>SO-202607-0001</x:v>
      </x:c>
      <x:c r="B4" s="18" t="n">
        <x:v>46218</x:v>
      </x:c>
      <x:c r="C4" s="7" t="str">
        <x:v>CUS-008</x:v>
      </x:c>
      <x:c r="D4" s="7" t="str">
        <x:v>上海线上分销商</x:v>
      </x:c>
      <x:c r="E4" s="7" t="str">
        <x:v>FS-2410</x:v>
      </x:c>
      <x:c r="F4" s="7" t="str">
        <x:v>轻薄防晒衬衣</x:v>
      </x:c>
      <x:c r="G4" s="7" t="n">
        <x:v>5</x:v>
      </x:c>
      <x:c r="H4" s="19" t="n">
        <x:v>57</x:v>
      </x:c>
      <x:c r="I4" s="7" t="n">
        <x:v>0.06</x:v>
      </x:c>
      <x:c r="J4" s="19" t="n">
        <x:v>17.099999999999998</x:v>
      </x:c>
      <x:c r="K4" s="19" t="n">
        <x:v>12</x:v>
      </x:c>
      <x:c r="L4" s="19" t="n">
        <x:v>279.9</x:v>
      </x:c>
      <x:c r="M4" s="7" t="str">
        <x:v>已完成</x:v>
      </x:c>
      <x:c r="N4" s="7" t="str">
        <x:v>微信私域</x:v>
      </x:c>
    </x:row>
    <x:row r="5">
      <x:c r="A5" s="7" t="str">
        <x:v>SO-202607-0002</x:v>
      </x:c>
      <x:c r="B5" s="18" t="n">
        <x:v>46218</x:v>
      </x:c>
      <x:c r="C5" s="7" t="str">
        <x:v>CUS-001</x:v>
      </x:c>
      <x:c r="D5" s="7" t="str">
        <x:v>广州白马服饰店</x:v>
      </x:c>
      <x:c r="E5" s="7" t="str">
        <x:v>FS-2403</x:v>
      </x:c>
      <x:c r="F5" s="7" t="str">
        <x:v>宽松纯棉印花T恤</x:v>
      </x:c>
      <x:c r="G5" s="7" t="n">
        <x:v>6</x:v>
      </x:c>
      <x:c r="H5" s="19" t="n">
        <x:v>37</x:v>
      </x:c>
      <x:c r="I5" s="7" t="n">
        <x:v>0.06</x:v>
      </x:c>
      <x:c r="J5" s="19" t="n">
        <x:v>13.32</x:v>
      </x:c>
      <x:c r="K5" s="19" t="n">
        <x:v>12</x:v>
      </x:c>
      <x:c r="L5" s="19" t="n">
        <x:v>220.68</x:v>
      </x:c>
      <x:c r="M5" s="7" t="str">
        <x:v>已完成</x:v>
      </x:c>
      <x:c r="N5" s="7" t="str">
        <x:v>微信私域</x:v>
      </x:c>
    </x:row>
    <x:row r="6">
      <x:c r="A6" s="7" t="str">
        <x:v>SO-202607-0003</x:v>
      </x:c>
      <x:c r="B6" s="18" t="n">
        <x:v>46218</x:v>
      </x:c>
      <x:c r="C6" s="7" t="str">
        <x:v>CUS-002</x:v>
      </x:c>
      <x:c r="D6" s="7" t="str">
        <x:v>杭州女装集合店</x:v>
      </x:c>
      <x:c r="E6" s="7" t="str">
        <x:v>FS-2408</x:v>
      </x:c>
      <x:c r="F6" s="7" t="str">
        <x:v>运动速干短裤</x:v>
      </x:c>
      <x:c r="G6" s="7" t="n">
        <x:v>7</x:v>
      </x:c>
      <x:c r="H6" s="19" t="n">
        <x:v>51</x:v>
      </x:c>
      <x:c r="I6" s="7" t="n">
        <x:v>0.06</x:v>
      </x:c>
      <x:c r="J6" s="19" t="n">
        <x:v>21.419999999999998</x:v>
      </x:c>
      <x:c r="K6" s="19" t="n">
        <x:v>12</x:v>
      </x:c>
      <x:c r="L6" s="19" t="n">
        <x:v>347.58</x:v>
      </x:c>
      <x:c r="M6" s="7" t="str">
        <x:v>已完成</x:v>
      </x:c>
      <x:c r="N6" s="7" t="str">
        <x:v>线下档口</x:v>
      </x:c>
    </x:row>
    <x:row r="7">
      <x:c r="A7" s="7" t="str">
        <x:v>SO-202607-0004</x:v>
      </x:c>
      <x:c r="B7" s="18" t="n">
        <x:v>46218</x:v>
      </x:c>
      <x:c r="C7" s="7" t="str">
        <x:v>CUS-003</x:v>
      </x:c>
      <x:c r="D7" s="7" t="str">
        <x:v>成都潮流买手店</x:v>
      </x:c>
      <x:c r="E7" s="7" t="str">
        <x:v>FS-2401</x:v>
      </x:c>
      <x:c r="F7" s="7" t="str">
        <x:v>复古水洗直筒牛仔裤</x:v>
      </x:c>
      <x:c r="G7" s="7" t="n">
        <x:v>8</x:v>
      </x:c>
      <x:c r="H7" s="19" t="n">
        <x:v>85</x:v>
      </x:c>
      <x:c r="I7" s="7" t="n">
        <x:v>0.03</x:v>
      </x:c>
      <x:c r="J7" s="19" t="n">
        <x:v>20.4</x:v>
      </x:c>
      <x:c r="K7" s="19" t="n">
        <x:v>12</x:v>
      </x:c>
      <x:c r="L7" s="19" t="n">
        <x:v>671.6</x:v>
      </x:c>
      <x:c r="M7" s="7" t="str">
        <x:v>已完成</x:v>
      </x:c>
      <x:c r="N7" s="7" t="str">
        <x:v>微信私域</x:v>
      </x:c>
    </x:row>
    <x:row r="8">
      <x:c r="A8" s="7" t="str">
        <x:v>SO-202607-0005</x:v>
      </x:c>
      <x:c r="B8" s="18" t="n">
        <x:v>46219</x:v>
      </x:c>
      <x:c r="C8" s="7" t="str">
        <x:v>CUS-001</x:v>
      </x:c>
      <x:c r="D8" s="7" t="str">
        <x:v>广州白马服饰店</x:v>
      </x:c>
      <x:c r="E8" s="7" t="str">
        <x:v>FS-2401</x:v>
      </x:c>
      <x:c r="F8" s="7" t="str">
        <x:v>复古水洗直筒牛仔裤</x:v>
      </x:c>
      <x:c r="G8" s="7" t="n">
        <x:v>6</x:v>
      </x:c>
      <x:c r="H8" s="19" t="n">
        <x:v>81</x:v>
      </x:c>
      <x:c r="I8" s="7" t="n">
        <x:v>0.06</x:v>
      </x:c>
      <x:c r="J8" s="19" t="n">
        <x:v>29.16</x:v>
      </x:c>
      <x:c r="K8" s="19" t="n">
        <x:v>12</x:v>
      </x:c>
      <x:c r="L8" s="19" t="n">
        <x:v>468.84</x:v>
      </x:c>
      <x:c r="M8" s="7" t="str">
        <x:v>已完成</x:v>
      </x:c>
      <x:c r="N8" s="7" t="str">
        <x:v>微信私域</x:v>
      </x:c>
    </x:row>
    <x:row r="9">
      <x:c r="A9" s="7" t="str">
        <x:v>SO-202607-0006</x:v>
      </x:c>
      <x:c r="B9" s="18" t="n">
        <x:v>46219</x:v>
      </x:c>
      <x:c r="C9" s="7" t="str">
        <x:v>CUS-002</x:v>
      </x:c>
      <x:c r="D9" s="7" t="str">
        <x:v>杭州女装集合店</x:v>
      </x:c>
      <x:c r="E9" s="7" t="str">
        <x:v>FS-2406</x:v>
      </x:c>
      <x:c r="F9" s="7" t="str">
        <x:v>港风短袖衬衫</x:v>
      </x:c>
      <x:c r="G9" s="7" t="n">
        <x:v>7</x:v>
      </x:c>
      <x:c r="H9" s="19" t="n">
        <x:v>64</x:v>
      </x:c>
      <x:c r="I9" s="7" t="n">
        <x:v>0.06</x:v>
      </x:c>
      <x:c r="J9" s="19" t="n">
        <x:v>26.88</x:v>
      </x:c>
      <x:c r="K9" s="19" t="n">
        <x:v>12</x:v>
      </x:c>
      <x:c r="L9" s="19" t="n">
        <x:v>433.12</x:v>
      </x:c>
      <x:c r="M9" s="7" t="str">
        <x:v>已完成</x:v>
      </x:c>
      <x:c r="N9" s="7" t="str">
        <x:v>线下档口</x:v>
      </x:c>
    </x:row>
    <x:row r="10">
      <x:c r="A10" s="7" t="str">
        <x:v>SO-202607-0007</x:v>
      </x:c>
      <x:c r="B10" s="18" t="n">
        <x:v>46219</x:v>
      </x:c>
      <x:c r="C10" s="7" t="str">
        <x:v>CUS-003</x:v>
      </x:c>
      <x:c r="D10" s="7" t="str">
        <x:v>成都潮流买手店</x:v>
      </x:c>
      <x:c r="E10" s="7" t="str">
        <x:v>FS-2411</x:v>
      </x:c>
      <x:c r="F10" s="7" t="str">
        <x:v>美式宽松卫衣</x:v>
      </x:c>
      <x:c r="G10" s="7" t="n">
        <x:v>8</x:v>
      </x:c>
      <x:c r="H10" s="19" t="n">
        <x:v>88</x:v>
      </x:c>
      <x:c r="I10" s="7" t="n">
        <x:v>0.03</x:v>
      </x:c>
      <x:c r="J10" s="19" t="n">
        <x:v>21.119999999999997</x:v>
      </x:c>
      <x:c r="K10" s="19" t="n">
        <x:v>12</x:v>
      </x:c>
      <x:c r="L10" s="19" t="n">
        <x:v>694.88</x:v>
      </x:c>
      <x:c r="M10" s="7" t="str">
        <x:v>已完成</x:v>
      </x:c>
      <x:c r="N10" s="7" t="str">
        <x:v>抖音店铺</x:v>
      </x:c>
    </x:row>
    <x:row r="11">
      <x:c r="A11" s="7" t="str">
        <x:v>SO-202607-0008</x:v>
      </x:c>
      <x:c r="B11" s="18" t="n">
        <x:v>46219</x:v>
      </x:c>
      <x:c r="C11" s="7" t="str">
        <x:v>CUS-004</x:v>
      </x:c>
      <x:c r="D11" s="7" t="str">
        <x:v>武汉汉正街档口</x:v>
      </x:c>
      <x:c r="E11" s="7" t="str">
        <x:v>FS-2404</x:v>
      </x:c>
      <x:c r="F11" s="7" t="str">
        <x:v>高腰阔腿西装裤</x:v>
      </x:c>
      <x:c r="G11" s="7" t="n">
        <x:v>9</x:v>
      </x:c>
      <x:c r="H11" s="19" t="n">
        <x:v>70</x:v>
      </x:c>
      <x:c r="I11" s="7" t="n">
        <x:v>0.06</x:v>
      </x:c>
      <x:c r="J11" s="19" t="n">
        <x:v>37.8</x:v>
      </x:c>
      <x:c r="K11" s="19" t="n">
        <x:v>12</x:v>
      </x:c>
      <x:c r="L11" s="19" t="n">
        <x:v>604.2</x:v>
      </x:c>
      <x:c r="M11" s="7" t="str">
        <x:v>已完成</x:v>
      </x:c>
      <x:c r="N11" s="7" t="str">
        <x:v>微信私域</x:v>
      </x:c>
    </x:row>
    <x:row r="12">
      <x:c r="A12" s="7" t="str">
        <x:v>SO-202607-0009</x:v>
      </x:c>
      <x:c r="B12" s="18" t="n">
        <x:v>46220</x:v>
      </x:c>
      <x:c r="C12" s="7" t="str">
        <x:v>CUS-002</x:v>
      </x:c>
      <x:c r="D12" s="7" t="str">
        <x:v>杭州女装集合店</x:v>
      </x:c>
      <x:c r="E12" s="7" t="str">
        <x:v>FS-2404</x:v>
      </x:c>
      <x:c r="F12" s="7" t="str">
        <x:v>高腰阔腿西装裤</x:v>
      </x:c>
      <x:c r="G12" s="7" t="n">
        <x:v>7</x:v>
      </x:c>
      <x:c r="H12" s="19" t="n">
        <x:v>70</x:v>
      </x:c>
      <x:c r="I12" s="7" t="n">
        <x:v>0.06</x:v>
      </x:c>
      <x:c r="J12" s="19" t="n">
        <x:v>29.4</x:v>
      </x:c>
      <x:c r="K12" s="19" t="n">
        <x:v>12</x:v>
      </x:c>
      <x:c r="L12" s="19" t="n">
        <x:v>472.6</x:v>
      </x:c>
      <x:c r="M12" s="7" t="str">
        <x:v>待发货</x:v>
      </x:c>
      <x:c r="N12" s="7" t="str">
        <x:v>线下档口</x:v>
      </x:c>
    </x:row>
    <x:row r="13">
      <x:c r="A13" s="7" t="str">
        <x:v>SO-202607-0010</x:v>
      </x:c>
      <x:c r="B13" s="18" t="n">
        <x:v>46220</x:v>
      </x:c>
      <x:c r="C13" s="7" t="str">
        <x:v>CUS-003</x:v>
      </x:c>
      <x:c r="D13" s="7" t="str">
        <x:v>成都潮流买手店</x:v>
      </x:c>
      <x:c r="E13" s="7" t="str">
        <x:v>FS-2409</x:v>
      </x:c>
      <x:c r="F13" s="7" t="str">
        <x:v>垂感醋酸半身裙</x:v>
      </x:c>
      <x:c r="G13" s="7" t="n">
        <x:v>8</x:v>
      </x:c>
      <x:c r="H13" s="19" t="n">
        <x:v>81</x:v>
      </x:c>
      <x:c r="I13" s="7" t="n">
        <x:v>0.03</x:v>
      </x:c>
      <x:c r="J13" s="19" t="n">
        <x:v>19.439999999999998</x:v>
      </x:c>
      <x:c r="K13" s="19" t="n">
        <x:v>12</x:v>
      </x:c>
      <x:c r="L13" s="19" t="n">
        <x:v>640.56</x:v>
      </x:c>
      <x:c r="M13" s="7" t="str">
        <x:v>已完成</x:v>
      </x:c>
      <x:c r="N13" s="7" t="str">
        <x:v>微信私域</x:v>
      </x:c>
    </x:row>
    <x:row r="14">
      <x:c r="A14" s="7" t="str">
        <x:v>SO-202607-0011</x:v>
      </x:c>
      <x:c r="B14" s="18" t="n">
        <x:v>46220</x:v>
      </x:c>
      <x:c r="C14" s="7" t="str">
        <x:v>CUS-004</x:v>
      </x:c>
      <x:c r="D14" s="7" t="str">
        <x:v>武汉汉正街档口</x:v>
      </x:c>
      <x:c r="E14" s="7" t="str">
        <x:v>FS-2402</x:v>
      </x:c>
      <x:c r="F14" s="7" t="str">
        <x:v>法式方领碎花连衣裙</x:v>
      </x:c>
      <x:c r="G14" s="7" t="n">
        <x:v>9</x:v>
      </x:c>
      <x:c r="H14" s="19" t="n">
        <x:v>68</x:v>
      </x:c>
      <x:c r="I14" s="7" t="n">
        <x:v>0.06</x:v>
      </x:c>
      <x:c r="J14" s="19" t="n">
        <x:v>36.72</x:v>
      </x:c>
      <x:c r="K14" s="19" t="n">
        <x:v>12</x:v>
      </x:c>
      <x:c r="L14" s="19" t="n">
        <x:v>587.28</x:v>
      </x:c>
      <x:c r="M14" s="7" t="str">
        <x:v>已完成</x:v>
      </x:c>
      <x:c r="N14" s="7" t="str">
        <x:v>微信私域</x:v>
      </x:c>
    </x:row>
    <x:row r="15">
      <x:c r="A15" s="7" t="str">
        <x:v>SO-202607-0012</x:v>
      </x:c>
      <x:c r="B15" s="18" t="n">
        <x:v>46220</x:v>
      </x:c>
      <x:c r="C15" s="7" t="str">
        <x:v>CUS-005</x:v>
      </x:c>
      <x:c r="D15" s="7" t="str">
        <x:v>长沙衣橱直播间</x:v>
      </x:c>
      <x:c r="E15" s="7" t="str">
        <x:v>FS-2407</x:v>
      </x:c>
      <x:c r="F15" s="7" t="str">
        <x:v>基础百搭背心</x:v>
      </x:c>
      <x:c r="G15" s="7" t="n">
        <x:v>10</x:v>
      </x:c>
      <x:c r="H15" s="19" t="n">
        <x:v>31</x:v>
      </x:c>
      <x:c r="I15" s="7" t="n">
        <x:v>0.03</x:v>
      </x:c>
      <x:c r="J15" s="19" t="n">
        <x:v>9.299999999999999</x:v>
      </x:c>
      <x:c r="K15" s="19" t="n">
        <x:v>12</x:v>
      </x:c>
      <x:c r="L15" s="19" t="n">
        <x:v>312.7</x:v>
      </x:c>
      <x:c r="M15" s="7" t="str">
        <x:v>已完成</x:v>
      </x:c>
      <x:c r="N15" s="7" t="str">
        <x:v>线下档口</x:v>
      </x:c>
    </x:row>
    <x:row r="16">
      <x:c r="A16" s="7" t="str">
        <x:v>SO-202607-0013</x:v>
      </x:c>
      <x:c r="B16" s="18" t="n">
        <x:v>46221</x:v>
      </x:c>
      <x:c r="C16" s="7" t="str">
        <x:v>CUS-003</x:v>
      </x:c>
      <x:c r="D16" s="7" t="str">
        <x:v>成都潮流买手店</x:v>
      </x:c>
      <x:c r="E16" s="7" t="str">
        <x:v>FS-2407</x:v>
      </x:c>
      <x:c r="F16" s="7" t="str">
        <x:v>基础百搭背心</x:v>
      </x:c>
      <x:c r="G16" s="7" t="n">
        <x:v>8</x:v>
      </x:c>
      <x:c r="H16" s="19" t="n">
        <x:v>31</x:v>
      </x:c>
      <x:c r="I16" s="7" t="n">
        <x:v>0.03</x:v>
      </x:c>
      <x:c r="J16" s="19" t="n">
        <x:v>7.4399999999999995</x:v>
      </x:c>
      <x:c r="K16" s="19" t="n">
        <x:v>12</x:v>
      </x:c>
      <x:c r="L16" s="19" t="n">
        <x:v>252.56</x:v>
      </x:c>
      <x:c r="M16" s="7" t="str">
        <x:v>已完成</x:v>
      </x:c>
      <x:c r="N16" s="7" t="str">
        <x:v>微信私域</x:v>
      </x:c>
    </x:row>
    <x:row r="17">
      <x:c r="A17" s="7" t="str">
        <x:v>SO-202607-0014</x:v>
      </x:c>
      <x:c r="B17" s="18" t="n">
        <x:v>46221</x:v>
      </x:c>
      <x:c r="C17" s="7" t="str">
        <x:v>CUS-004</x:v>
      </x:c>
      <x:c r="D17" s="7" t="str">
        <x:v>武汉汉正街档口</x:v>
      </x:c>
      <x:c r="E17" s="7" t="str">
        <x:v>FS-2412</x:v>
      </x:c>
      <x:c r="F17" s="7" t="str">
        <x:v>格纹百褶短裙</x:v>
      </x:c>
      <x:c r="G17" s="7" t="n">
        <x:v>9</x:v>
      </x:c>
      <x:c r="H17" s="19" t="n">
        <x:v>62</x:v>
      </x:c>
      <x:c r="I17" s="7" t="n">
        <x:v>0.06</x:v>
      </x:c>
      <x:c r="J17" s="19" t="n">
        <x:v>33.48</x:v>
      </x:c>
      <x:c r="K17" s="19" t="n">
        <x:v>12</x:v>
      </x:c>
      <x:c r="L17" s="19" t="n">
        <x:v>536.52</x:v>
      </x:c>
      <x:c r="M17" s="7" t="str">
        <x:v>已完成</x:v>
      </x:c>
      <x:c r="N17" s="7" t="str">
        <x:v>抖音店铺</x:v>
      </x:c>
    </x:row>
    <x:row r="18">
      <x:c r="A18" s="7" t="str">
        <x:v>SO-202607-0015</x:v>
      </x:c>
      <x:c r="B18" s="18" t="n">
        <x:v>46221</x:v>
      </x:c>
      <x:c r="C18" s="7" t="str">
        <x:v>CUS-005</x:v>
      </x:c>
      <x:c r="D18" s="7" t="str">
        <x:v>长沙衣橱直播间</x:v>
      </x:c>
      <x:c r="E18" s="7" t="str">
        <x:v>FS-2405</x:v>
      </x:c>
      <x:c r="F18" s="7" t="str">
        <x:v>冰丝针织开衫</x:v>
      </x:c>
      <x:c r="G18" s="7" t="n">
        <x:v>10</x:v>
      </x:c>
      <x:c r="H18" s="19" t="n">
        <x:v>65</x:v>
      </x:c>
      <x:c r="I18" s="7" t="n">
        <x:v>0.03</x:v>
      </x:c>
      <x:c r="J18" s="19" t="n">
        <x:v>19.5</x:v>
      </x:c>
      <x:c r="K18" s="19" t="n">
        <x:v>12</x:v>
      </x:c>
      <x:c r="L18" s="19" t="n">
        <x:v>642.5</x:v>
      </x:c>
      <x:c r="M18" s="7" t="str">
        <x:v>已完成</x:v>
      </x:c>
      <x:c r="N18" s="7" t="str">
        <x:v>线下档口</x:v>
      </x:c>
    </x:row>
    <x:row r="19">
      <x:c r="A19" s="7" t="str">
        <x:v>SO-202607-0016</x:v>
      </x:c>
      <x:c r="B19" s="18" t="n">
        <x:v>46221</x:v>
      </x:c>
      <x:c r="C19" s="7" t="str">
        <x:v>CUS-006</x:v>
      </x:c>
      <x:c r="D19" s="7" t="str">
        <x:v>义乌小商品城店</x:v>
      </x:c>
      <x:c r="E19" s="7" t="str">
        <x:v>FS-2410</x:v>
      </x:c>
      <x:c r="F19" s="7" t="str">
        <x:v>轻薄防晒衬衣</x:v>
      </x:c>
      <x:c r="G19" s="7" t="n">
        <x:v>11</x:v>
      </x:c>
      <x:c r="H19" s="19" t="n">
        <x:v>61</x:v>
      </x:c>
      <x:c r="I19" s="7" t="n">
        <x:v>0.03</x:v>
      </x:c>
      <x:c r="J19" s="19" t="n">
        <x:v>20.13</x:v>
      </x:c>
      <x:c r="K19" s="19" t="n">
        <x:v>12</x:v>
      </x:c>
      <x:c r="L19" s="19" t="n">
        <x:v>662.87</x:v>
      </x:c>
      <x:c r="M19" s="7" t="str">
        <x:v>已完成</x:v>
      </x:c>
      <x:c r="N19" s="7" t="str">
        <x:v>微信私域</x:v>
      </x:c>
    </x:row>
    <x:row r="20">
      <x:c r="A20" s="7" t="str">
        <x:v>SO-202607-0017</x:v>
      </x:c>
      <x:c r="B20" s="18" t="n">
        <x:v>46222</x:v>
      </x:c>
      <x:c r="C20" s="7" t="str">
        <x:v>CUS-004</x:v>
      </x:c>
      <x:c r="D20" s="7" t="str">
        <x:v>武汉汉正街档口</x:v>
      </x:c>
      <x:c r="E20" s="7" t="str">
        <x:v>FS-2410</x:v>
      </x:c>
      <x:c r="F20" s="7" t="str">
        <x:v>轻薄防晒衬衣</x:v>
      </x:c>
      <x:c r="G20" s="7" t="n">
        <x:v>9</x:v>
      </x:c>
      <x:c r="H20" s="19" t="n">
        <x:v>57</x:v>
      </x:c>
      <x:c r="I20" s="7" t="n">
        <x:v>0.06</x:v>
      </x:c>
      <x:c r="J20" s="19" t="n">
        <x:v>30.779999999999998</x:v>
      </x:c>
      <x:c r="K20" s="19" t="n">
        <x:v>12</x:v>
      </x:c>
      <x:c r="L20" s="19" t="n">
        <x:v>494.22</x:v>
      </x:c>
      <x:c r="M20" s="7" t="str">
        <x:v>已完成</x:v>
      </x:c>
      <x:c r="N20" s="7" t="str">
        <x:v>微信私域</x:v>
      </x:c>
    </x:row>
    <x:row r="21">
      <x:c r="A21" s="7" t="str">
        <x:v>SO-202607-0018</x:v>
      </x:c>
      <x:c r="B21" s="18" t="n">
        <x:v>46222</x:v>
      </x:c>
      <x:c r="C21" s="7" t="str">
        <x:v>CUS-005</x:v>
      </x:c>
      <x:c r="D21" s="7" t="str">
        <x:v>长沙衣橱直播间</x:v>
      </x:c>
      <x:c r="E21" s="7" t="str">
        <x:v>FS-2403</x:v>
      </x:c>
      <x:c r="F21" s="7" t="str">
        <x:v>宽松纯棉印花T恤</x:v>
      </x:c>
      <x:c r="G21" s="7" t="n">
        <x:v>10</x:v>
      </x:c>
      <x:c r="H21" s="19" t="n">
        <x:v>41</x:v>
      </x:c>
      <x:c r="I21" s="7" t="n">
        <x:v>0.03</x:v>
      </x:c>
      <x:c r="J21" s="19" t="n">
        <x:v>12.299999999999999</x:v>
      </x:c>
      <x:c r="K21" s="19" t="n">
        <x:v>12</x:v>
      </x:c>
      <x:c r="L21" s="19" t="n">
        <x:v>409.7</x:v>
      </x:c>
      <x:c r="M21" s="7" t="str">
        <x:v>待发货</x:v>
      </x:c>
      <x:c r="N21" s="7" t="str">
        <x:v>线下档口</x:v>
      </x:c>
    </x:row>
    <x:row r="22">
      <x:c r="A22" s="7" t="str">
        <x:v>SO-202607-0019</x:v>
      </x:c>
      <x:c r="B22" s="18" t="n">
        <x:v>46222</x:v>
      </x:c>
      <x:c r="C22" s="7" t="str">
        <x:v>CUS-006</x:v>
      </x:c>
      <x:c r="D22" s="7" t="str">
        <x:v>义乌小商品城店</x:v>
      </x:c>
      <x:c r="E22" s="7" t="str">
        <x:v>FS-2408</x:v>
      </x:c>
      <x:c r="F22" s="7" t="str">
        <x:v>运动速干短裤</x:v>
      </x:c>
      <x:c r="G22" s="7" t="n">
        <x:v>11</x:v>
      </x:c>
      <x:c r="H22" s="19" t="n">
        <x:v>55</x:v>
      </x:c>
      <x:c r="I22" s="7" t="n">
        <x:v>0.03</x:v>
      </x:c>
      <x:c r="J22" s="19" t="n">
        <x:v>18.15</x:v>
      </x:c>
      <x:c r="K22" s="19" t="n">
        <x:v>12</x:v>
      </x:c>
      <x:c r="L22" s="19" t="n">
        <x:v>598.85</x:v>
      </x:c>
      <x:c r="M22" s="7" t="str">
        <x:v>已完成</x:v>
      </x:c>
      <x:c r="N22" s="7" t="str">
        <x:v>微信私域</x:v>
      </x:c>
    </x:row>
    <x:row r="23">
      <x:c r="A23" s="7" t="str">
        <x:v>SO-202607-0020</x:v>
      </x:c>
      <x:c r="B23" s="18" t="n">
        <x:v>46222</x:v>
      </x:c>
      <x:c r="C23" s="7" t="str">
        <x:v>CUS-007</x:v>
      </x:c>
      <x:c r="D23" s="7" t="str">
        <x:v>郑州银基商贸</x:v>
      </x:c>
      <x:c r="E23" s="7" t="str">
        <x:v>FS-2401</x:v>
      </x:c>
      <x:c r="F23" s="7" t="str">
        <x:v>复古水洗直筒牛仔裤</x:v>
      </x:c>
      <x:c r="G23" s="7" t="n">
        <x:v>12</x:v>
      </x:c>
      <x:c r="H23" s="19" t="n">
        <x:v>81</x:v>
      </x:c>
      <x:c r="I23" s="7" t="n">
        <x:v>0.06</x:v>
      </x:c>
      <x:c r="J23" s="19" t="n">
        <x:v>58.32</x:v>
      </x:c>
      <x:c r="K23" s="19" t="n">
        <x:v>0</x:v>
      </x:c>
      <x:c r="L23" s="19" t="n">
        <x:v>913.68</x:v>
      </x:c>
      <x:c r="M23" s="7" t="str">
        <x:v>已完成</x:v>
      </x:c>
      <x:c r="N23" s="7" t="str">
        <x:v>微信私域</x:v>
      </x:c>
    </x:row>
    <x:row r="24">
      <x:c r="A24" s="7" t="str">
        <x:v>SO-202607-0021</x:v>
      </x:c>
      <x:c r="B24" s="18" t="n">
        <x:v>46223</x:v>
      </x:c>
      <x:c r="C24" s="7" t="str">
        <x:v>CUS-005</x:v>
      </x:c>
      <x:c r="D24" s="7" t="str">
        <x:v>长沙衣橱直播间</x:v>
      </x:c>
      <x:c r="E24" s="7" t="str">
        <x:v>FS-2401</x:v>
      </x:c>
      <x:c r="F24" s="7" t="str">
        <x:v>复古水洗直筒牛仔裤</x:v>
      </x:c>
      <x:c r="G24" s="7" t="n">
        <x:v>10</x:v>
      </x:c>
      <x:c r="H24" s="19" t="n">
        <x:v>85</x:v>
      </x:c>
      <x:c r="I24" s="7" t="n">
        <x:v>0.03</x:v>
      </x:c>
      <x:c r="J24" s="19" t="n">
        <x:v>25.5</x:v>
      </x:c>
      <x:c r="K24" s="19" t="n">
        <x:v>12</x:v>
      </x:c>
      <x:c r="L24" s="19" t="n">
        <x:v>836.5</x:v>
      </x:c>
      <x:c r="M24" s="7" t="str">
        <x:v>已完成</x:v>
      </x:c>
      <x:c r="N24" s="7" t="str">
        <x:v>抖音店铺</x:v>
      </x:c>
    </x:row>
    <x:row r="25">
      <x:c r="A25" s="7" t="str">
        <x:v>SO-202607-0022</x:v>
      </x:c>
      <x:c r="B25" s="18" t="n">
        <x:v>46223</x:v>
      </x:c>
      <x:c r="C25" s="7" t="str">
        <x:v>CUS-006</x:v>
      </x:c>
      <x:c r="D25" s="7" t="str">
        <x:v>义乌小商品城店</x:v>
      </x:c>
      <x:c r="E25" s="7" t="str">
        <x:v>FS-2406</x:v>
      </x:c>
      <x:c r="F25" s="7" t="str">
        <x:v>港风短袖衬衫</x:v>
      </x:c>
      <x:c r="G25" s="7" t="n">
        <x:v>11</x:v>
      </x:c>
      <x:c r="H25" s="19" t="n">
        <x:v>68</x:v>
      </x:c>
      <x:c r="I25" s="7" t="n">
        <x:v>0.03</x:v>
      </x:c>
      <x:c r="J25" s="19" t="n">
        <x:v>22.439999999999998</x:v>
      </x:c>
      <x:c r="K25" s="19" t="n">
        <x:v>12</x:v>
      </x:c>
      <x:c r="L25" s="19" t="n">
        <x:v>737.56</x:v>
      </x:c>
      <x:c r="M25" s="7" t="str">
        <x:v>已完成</x:v>
      </x:c>
      <x:c r="N25" s="7" t="str">
        <x:v>微信私域</x:v>
      </x:c>
    </x:row>
    <x:row r="26">
      <x:c r="A26" s="7" t="str">
        <x:v>SO-202607-0023</x:v>
      </x:c>
      <x:c r="B26" s="18" t="n">
        <x:v>46223</x:v>
      </x:c>
      <x:c r="C26" s="7" t="str">
        <x:v>CUS-007</x:v>
      </x:c>
      <x:c r="D26" s="7" t="str">
        <x:v>郑州银基商贸</x:v>
      </x:c>
      <x:c r="E26" s="7" t="str">
        <x:v>FS-2411</x:v>
      </x:c>
      <x:c r="F26" s="7" t="str">
        <x:v>美式宽松卫衣</x:v>
      </x:c>
      <x:c r="G26" s="7" t="n">
        <x:v>12</x:v>
      </x:c>
      <x:c r="H26" s="19" t="n">
        <x:v>84</x:v>
      </x:c>
      <x:c r="I26" s="7" t="n">
        <x:v>0.06</x:v>
      </x:c>
      <x:c r="J26" s="19" t="n">
        <x:v>60.48</x:v>
      </x:c>
      <x:c r="K26" s="19" t="n">
        <x:v>0</x:v>
      </x:c>
      <x:c r="L26" s="19" t="n">
        <x:v>947.52</x:v>
      </x:c>
      <x:c r="M26" s="7" t="str">
        <x:v>已完成</x:v>
      </x:c>
      <x:c r="N26" s="7" t="str">
        <x:v>微信私域</x:v>
      </x:c>
    </x:row>
    <x:row r="27">
      <x:c r="A27" s="7" t="str">
        <x:v>SO-202607-0024</x:v>
      </x:c>
      <x:c r="B27" s="18" t="n">
        <x:v>46223</x:v>
      </x:c>
      <x:c r="C27" s="7" t="str">
        <x:v>CUS-008</x:v>
      </x:c>
      <x:c r="D27" s="7" t="str">
        <x:v>上海线上分销商</x:v>
      </x:c>
      <x:c r="E27" s="7" t="str">
        <x:v>FS-2404</x:v>
      </x:c>
      <x:c r="F27" s="7" t="str">
        <x:v>高腰阔腿西装裤</x:v>
      </x:c>
      <x:c r="G27" s="7" t="n">
        <x:v>13</x:v>
      </x:c>
      <x:c r="H27" s="19" t="n">
        <x:v>70</x:v>
      </x:c>
      <x:c r="I27" s="7" t="n">
        <x:v>0.06</x:v>
      </x:c>
      <x:c r="J27" s="19" t="n">
        <x:v>54.6</x:v>
      </x:c>
      <x:c r="K27" s="19" t="n">
        <x:v>0</x:v>
      </x:c>
      <x:c r="L27" s="19" t="n">
        <x:v>855.4</x:v>
      </x:c>
      <x:c r="M27" s="7" t="str">
        <x:v>已完成</x:v>
      </x:c>
      <x:c r="N27" s="7" t="str">
        <x:v>线下档口</x:v>
      </x:c>
    </x:row>
    <x:row r="28">
      <x:c r="A28" s="7" t="str">
        <x:v>SO-202607-0025</x:v>
      </x:c>
      <x:c r="B28" s="18" t="n">
        <x:v>46224</x:v>
      </x:c>
      <x:c r="C28" s="7" t="str">
        <x:v>CUS-006</x:v>
      </x:c>
      <x:c r="D28" s="7" t="str">
        <x:v>义乌小商品城店</x:v>
      </x:c>
      <x:c r="E28" s="7" t="str">
        <x:v>FS-2404</x:v>
      </x:c>
      <x:c r="F28" s="7" t="str">
        <x:v>高腰阔腿西装裤</x:v>
      </x:c>
      <x:c r="G28" s="7" t="n">
        <x:v>11</x:v>
      </x:c>
      <x:c r="H28" s="19" t="n">
        <x:v>74</x:v>
      </x:c>
      <x:c r="I28" s="7" t="n">
        <x:v>0.03</x:v>
      </x:c>
      <x:c r="J28" s="19" t="n">
        <x:v>24.419999999999998</x:v>
      </x:c>
      <x:c r="K28" s="19" t="n">
        <x:v>12</x:v>
      </x:c>
      <x:c r="L28" s="19" t="n">
        <x:v>801.58</x:v>
      </x:c>
      <x:c r="M28" s="7" t="str">
        <x:v>已完成</x:v>
      </x:c>
      <x:c r="N28" s="7" t="str">
        <x:v>微信私域</x:v>
      </x:c>
    </x:row>
    <x:row r="29">
      <x:c r="A29" s="7" t="str">
        <x:v>SO-202607-0026</x:v>
      </x:c>
      <x:c r="B29" s="18" t="n">
        <x:v>46224</x:v>
      </x:c>
      <x:c r="C29" s="7" t="str">
        <x:v>CUS-007</x:v>
      </x:c>
      <x:c r="D29" s="7" t="str">
        <x:v>郑州银基商贸</x:v>
      </x:c>
      <x:c r="E29" s="7" t="str">
        <x:v>FS-2409</x:v>
      </x:c>
      <x:c r="F29" s="7" t="str">
        <x:v>垂感醋酸半身裙</x:v>
      </x:c>
      <x:c r="G29" s="7" t="n">
        <x:v>12</x:v>
      </x:c>
      <x:c r="H29" s="19" t="n">
        <x:v>77</x:v>
      </x:c>
      <x:c r="I29" s="7" t="n">
        <x:v>0.06</x:v>
      </x:c>
      <x:c r="J29" s="19" t="n">
        <x:v>55.44</x:v>
      </x:c>
      <x:c r="K29" s="19" t="n">
        <x:v>0</x:v>
      </x:c>
      <x:c r="L29" s="19" t="n">
        <x:v>868.56</x:v>
      </x:c>
      <x:c r="M29" s="7" t="str">
        <x:v>已完成</x:v>
      </x:c>
      <x:c r="N29" s="7" t="str">
        <x:v>微信私域</x:v>
      </x:c>
    </x:row>
    <x:row r="30">
      <x:c r="A30" s="7" t="str">
        <x:v>SO-202607-0027</x:v>
      </x:c>
      <x:c r="B30" s="18" t="n">
        <x:v>46224</x:v>
      </x:c>
      <x:c r="C30" s="7" t="str">
        <x:v>CUS-008</x:v>
      </x:c>
      <x:c r="D30" s="7" t="str">
        <x:v>上海线上分销商</x:v>
      </x:c>
      <x:c r="E30" s="7" t="str">
        <x:v>FS-2402</x:v>
      </x:c>
      <x:c r="F30" s="7" t="str">
        <x:v>法式方领碎花连衣裙</x:v>
      </x:c>
      <x:c r="G30" s="7" t="n">
        <x:v>13</x:v>
      </x:c>
      <x:c r="H30" s="19" t="n">
        <x:v>68</x:v>
      </x:c>
      <x:c r="I30" s="7" t="n">
        <x:v>0.06</x:v>
      </x:c>
      <x:c r="J30" s="19" t="n">
        <x:v>53.04</x:v>
      </x:c>
      <x:c r="K30" s="19" t="n">
        <x:v>0</x:v>
      </x:c>
      <x:c r="L30" s="19" t="n">
        <x:v>830.96</x:v>
      </x:c>
      <x:c r="M30" s="7" t="str">
        <x:v>待发货</x:v>
      </x:c>
      <x:c r="N30" s="7" t="str">
        <x:v>线下档口</x:v>
      </x:c>
    </x:row>
    <x:row r="31">
      <x:c r="A31" s="7" t="str">
        <x:v>SO-202607-0028</x:v>
      </x:c>
      <x:c r="B31" s="18" t="n">
        <x:v>46224</x:v>
      </x:c>
      <x:c r="C31" s="7" t="str">
        <x:v>CUS-001</x:v>
      </x:c>
      <x:c r="D31" s="7" t="str">
        <x:v>广州白马服饰店</x:v>
      </x:c>
      <x:c r="E31" s="7" t="str">
        <x:v>FS-2407</x:v>
      </x:c>
      <x:c r="F31" s="7" t="str">
        <x:v>基础百搭背心</x:v>
      </x:c>
      <x:c r="G31" s="7" t="n">
        <x:v>14</x:v>
      </x:c>
      <x:c r="H31" s="19" t="n">
        <x:v>27</x:v>
      </x:c>
      <x:c r="I31" s="7" t="n">
        <x:v>0.06</x:v>
      </x:c>
      <x:c r="J31" s="19" t="n">
        <x:v>22.68</x:v>
      </x:c>
      <x:c r="K31" s="19" t="n">
        <x:v>0</x:v>
      </x:c>
      <x:c r="L31" s="19" t="n">
        <x:v>355.32</x:v>
      </x:c>
      <x:c r="M31" s="7" t="str">
        <x:v>已完成</x:v>
      </x:c>
      <x:c r="N31" s="7" t="str">
        <x:v>抖音店铺</x:v>
      </x:c>
    </x:row>
    <x:row r="32">
      <x:c r="A32" s="7" t="str">
        <x:v>SO-202607-0029</x:v>
      </x:c>
      <x:c r="B32" s="18" t="n">
        <x:v>46225</x:v>
      </x:c>
      <x:c r="C32" s="7" t="str">
        <x:v>CUS-007</x:v>
      </x:c>
      <x:c r="D32" s="7" t="str">
        <x:v>郑州银基商贸</x:v>
      </x:c>
      <x:c r="E32" s="7" t="str">
        <x:v>FS-2407</x:v>
      </x:c>
      <x:c r="F32" s="7" t="str">
        <x:v>基础百搭背心</x:v>
      </x:c>
      <x:c r="G32" s="7" t="n">
        <x:v>12</x:v>
      </x:c>
      <x:c r="H32" s="19" t="n">
        <x:v>27</x:v>
      </x:c>
      <x:c r="I32" s="7" t="n">
        <x:v>0.06</x:v>
      </x:c>
      <x:c r="J32" s="19" t="n">
        <x:v>19.439999999999998</x:v>
      </x:c>
      <x:c r="K32" s="19" t="n">
        <x:v>0</x:v>
      </x:c>
      <x:c r="L32" s="19" t="n">
        <x:v>304.56</x:v>
      </x:c>
      <x:c r="M32" s="7" t="str">
        <x:v>已完成</x:v>
      </x:c>
      <x:c r="N32" s="7" t="str">
        <x:v>微信私域</x:v>
      </x:c>
    </x:row>
    <x:row r="33">
      <x:c r="A33" s="7" t="str">
        <x:v>SO-202607-0030</x:v>
      </x:c>
      <x:c r="B33" s="18" t="n">
        <x:v>46225</x:v>
      </x:c>
      <x:c r="C33" s="7" t="str">
        <x:v>CUS-008</x:v>
      </x:c>
      <x:c r="D33" s="7" t="str">
        <x:v>上海线上分销商</x:v>
      </x:c>
      <x:c r="E33" s="7" t="str">
        <x:v>FS-2412</x:v>
      </x:c>
      <x:c r="F33" s="7" t="str">
        <x:v>格纹百褶短裙</x:v>
      </x:c>
      <x:c r="G33" s="7" t="n">
        <x:v>13</x:v>
      </x:c>
      <x:c r="H33" s="19" t="n">
        <x:v>62</x:v>
      </x:c>
      <x:c r="I33" s="7" t="n">
        <x:v>0.06</x:v>
      </x:c>
      <x:c r="J33" s="19" t="n">
        <x:v>48.36</x:v>
      </x:c>
      <x:c r="K33" s="19" t="n">
        <x:v>0</x:v>
      </x:c>
      <x:c r="L33" s="19" t="n">
        <x:v>757.64</x:v>
      </x:c>
      <x:c r="M33" s="7" t="str">
        <x:v>已完成</x:v>
      </x:c>
      <x:c r="N33" s="7" t="str">
        <x:v>线下档口</x:v>
      </x:c>
    </x:row>
    <x:row r="34">
      <x:c r="A34" s="7" t="str">
        <x:v>SO-202607-0031</x:v>
      </x:c>
      <x:c r="B34" s="18" t="n">
        <x:v>46225</x:v>
      </x:c>
      <x:c r="C34" s="7" t="str">
        <x:v>CUS-001</x:v>
      </x:c>
      <x:c r="D34" s="7" t="str">
        <x:v>广州白马服饰店</x:v>
      </x:c>
      <x:c r="E34" s="7" t="str">
        <x:v>FS-2405</x:v>
      </x:c>
      <x:c r="F34" s="7" t="str">
        <x:v>冰丝针织开衫</x:v>
      </x:c>
      <x:c r="G34" s="7" t="n">
        <x:v>14</x:v>
      </x:c>
      <x:c r="H34" s="19" t="n">
        <x:v>61</x:v>
      </x:c>
      <x:c r="I34" s="7" t="n">
        <x:v>0.06</x:v>
      </x:c>
      <x:c r="J34" s="19" t="n">
        <x:v>51.239999999999995</x:v>
      </x:c>
      <x:c r="K34" s="19" t="n">
        <x:v>0</x:v>
      </x:c>
      <x:c r="L34" s="19" t="n">
        <x:v>802.76</x:v>
      </x:c>
      <x:c r="M34" s="7" t="str">
        <x:v>已完成</x:v>
      </x:c>
      <x:c r="N34" s="7" t="str">
        <x:v>微信私域</x:v>
      </x:c>
    </x:row>
    <x:row r="35">
      <x:c r="A35" s="7" t="str">
        <x:v>SO-202607-0032</x:v>
      </x:c>
      <x:c r="B35" s="18" t="n">
        <x:v>46225</x:v>
      </x:c>
      <x:c r="C35" s="7" t="str">
        <x:v>CUS-002</x:v>
      </x:c>
      <x:c r="D35" s="7" t="str">
        <x:v>杭州女装集合店</x:v>
      </x:c>
      <x:c r="E35" s="7" t="str">
        <x:v>FS-2410</x:v>
      </x:c>
      <x:c r="F35" s="7" t="str">
        <x:v>轻薄防晒衬衣</x:v>
      </x:c>
      <x:c r="G35" s="7" t="n">
        <x:v>15</x:v>
      </x:c>
      <x:c r="H35" s="19" t="n">
        <x:v>57</x:v>
      </x:c>
      <x:c r="I35" s="7" t="n">
        <x:v>0.06</x:v>
      </x:c>
      <x:c r="J35" s="19" t="n">
        <x:v>51.3</x:v>
      </x:c>
      <x:c r="K35" s="19" t="n">
        <x:v>0</x:v>
      </x:c>
      <x:c r="L35" s="19" t="n">
        <x:v>803.7</x:v>
      </x:c>
      <x:c r="M35" s="7" t="str">
        <x:v>已完成</x:v>
      </x:c>
      <x:c r="N35" s="7" t="str">
        <x:v>微信私域</x:v>
      </x:c>
    </x:row>
    <x:row r="36">
      <x:c r="A36" s="7" t="str">
        <x:v>SO-202607-0033</x:v>
      </x:c>
      <x:c r="B36" s="18" t="n">
        <x:v>46226</x:v>
      </x:c>
      <x:c r="C36" s="7" t="str">
        <x:v>CUS-008</x:v>
      </x:c>
      <x:c r="D36" s="7" t="str">
        <x:v>上海线上分销商</x:v>
      </x:c>
      <x:c r="E36" s="7" t="str">
        <x:v>FS-2410</x:v>
      </x:c>
      <x:c r="F36" s="7" t="str">
        <x:v>轻薄防晒衬衣</x:v>
      </x:c>
      <x:c r="G36" s="7" t="n">
        <x:v>13</x:v>
      </x:c>
      <x:c r="H36" s="19" t="n">
        <x:v>57</x:v>
      </x:c>
      <x:c r="I36" s="7" t="n">
        <x:v>0.06</x:v>
      </x:c>
      <x:c r="J36" s="19" t="n">
        <x:v>44.46</x:v>
      </x:c>
      <x:c r="K36" s="19" t="n">
        <x:v>0</x:v>
      </x:c>
      <x:c r="L36" s="19" t="n">
        <x:v>696.54</x:v>
      </x:c>
      <x:c r="M36" s="7" t="str">
        <x:v>已完成</x:v>
      </x:c>
      <x:c r="N36" s="7" t="str">
        <x:v>线下档口</x:v>
      </x:c>
    </x:row>
    <x:row r="37">
      <x:c r="A37" s="7" t="str">
        <x:v>SO-202607-0034</x:v>
      </x:c>
      <x:c r="B37" s="18" t="n">
        <x:v>46226</x:v>
      </x:c>
      <x:c r="C37" s="7" t="str">
        <x:v>CUS-001</x:v>
      </x:c>
      <x:c r="D37" s="7" t="str">
        <x:v>广州白马服饰店</x:v>
      </x:c>
      <x:c r="E37" s="7" t="str">
        <x:v>FS-2403</x:v>
      </x:c>
      <x:c r="F37" s="7" t="str">
        <x:v>宽松纯棉印花T恤</x:v>
      </x:c>
      <x:c r="G37" s="7" t="n">
        <x:v>14</x:v>
      </x:c>
      <x:c r="H37" s="19" t="n">
        <x:v>37</x:v>
      </x:c>
      <x:c r="I37" s="7" t="n">
        <x:v>0.06</x:v>
      </x:c>
      <x:c r="J37" s="19" t="n">
        <x:v>31.08</x:v>
      </x:c>
      <x:c r="K37" s="19" t="n">
        <x:v>0</x:v>
      </x:c>
      <x:c r="L37" s="19" t="n">
        <x:v>486.92</x:v>
      </x:c>
      <x:c r="M37" s="7" t="str">
        <x:v>已完成</x:v>
      </x:c>
      <x:c r="N37" s="7" t="str">
        <x:v>微信私域</x:v>
      </x:c>
    </x:row>
    <x:row r="38">
      <x:c r="A38" s="7" t="str">
        <x:v>SO-202607-0035</x:v>
      </x:c>
      <x:c r="B38" s="18" t="n">
        <x:v>46226</x:v>
      </x:c>
      <x:c r="C38" s="7" t="str">
        <x:v>CUS-002</x:v>
      </x:c>
      <x:c r="D38" s="7" t="str">
        <x:v>杭州女装集合店</x:v>
      </x:c>
      <x:c r="E38" s="7" t="str">
        <x:v>FS-2408</x:v>
      </x:c>
      <x:c r="F38" s="7" t="str">
        <x:v>运动速干短裤</x:v>
      </x:c>
      <x:c r="G38" s="7" t="n">
        <x:v>15</x:v>
      </x:c>
      <x:c r="H38" s="19" t="n">
        <x:v>51</x:v>
      </x:c>
      <x:c r="I38" s="7" t="n">
        <x:v>0.06</x:v>
      </x:c>
      <x:c r="J38" s="19" t="n">
        <x:v>45.9</x:v>
      </x:c>
      <x:c r="K38" s="19" t="n">
        <x:v>0</x:v>
      </x:c>
      <x:c r="L38" s="19" t="n">
        <x:v>719.1</x:v>
      </x:c>
      <x:c r="M38" s="7" t="str">
        <x:v>已完成</x:v>
      </x:c>
      <x:c r="N38" s="7" t="str">
        <x:v>抖音店铺</x:v>
      </x:c>
    </x:row>
    <x:row r="39">
      <x:c r="A39" s="7" t="str">
        <x:v>SO-202607-0036</x:v>
      </x:c>
      <x:c r="B39" s="18" t="n">
        <x:v>46226</x:v>
      </x:c>
      <x:c r="C39" s="7" t="str">
        <x:v>CUS-003</x:v>
      </x:c>
      <x:c r="D39" s="7" t="str">
        <x:v>成都潮流买手店</x:v>
      </x:c>
      <x:c r="E39" s="7" t="str">
        <x:v>FS-2401</x:v>
      </x:c>
      <x:c r="F39" s="7" t="str">
        <x:v>复古水洗直筒牛仔裤</x:v>
      </x:c>
      <x:c r="G39" s="7" t="n">
        <x:v>16</x:v>
      </x:c>
      <x:c r="H39" s="19" t="n">
        <x:v>85</x:v>
      </x:c>
      <x:c r="I39" s="7" t="n">
        <x:v>0.03</x:v>
      </x:c>
      <x:c r="J39" s="19" t="n">
        <x:v>40.8</x:v>
      </x:c>
      <x:c r="K39" s="19" t="n">
        <x:v>0</x:v>
      </x:c>
      <x:c r="L39" s="19" t="n">
        <x:v>1319.2</x:v>
      </x:c>
      <x:c r="M39" s="7" t="str">
        <x:v>待发货</x:v>
      </x:c>
      <x:c r="N39" s="7" t="str">
        <x:v>线下档口</x:v>
      </x:c>
    </x:row>
    <x:row r="40">
      <x:c r="A40" s="7" t="str">
        <x:v>SO-202607-0037</x:v>
      </x:c>
      <x:c r="B40" s="18" t="n">
        <x:v>46227</x:v>
      </x:c>
      <x:c r="C40" s="7" t="str">
        <x:v>CUS-001</x:v>
      </x:c>
      <x:c r="D40" s="7" t="str">
        <x:v>广州白马服饰店</x:v>
      </x:c>
      <x:c r="E40" s="7" t="str">
        <x:v>FS-2401</x:v>
      </x:c>
      <x:c r="F40" s="7" t="str">
        <x:v>复古水洗直筒牛仔裤</x:v>
      </x:c>
      <x:c r="G40" s="7" t="n">
        <x:v>14</x:v>
      </x:c>
      <x:c r="H40" s="19" t="n">
        <x:v>81</x:v>
      </x:c>
      <x:c r="I40" s="7" t="n">
        <x:v>0.06</x:v>
      </x:c>
      <x:c r="J40" s="19" t="n">
        <x:v>68.03999999999999</x:v>
      </x:c>
      <x:c r="K40" s="19" t="n">
        <x:v>0</x:v>
      </x:c>
      <x:c r="L40" s="19" t="n">
        <x:v>1065.96</x:v>
      </x:c>
      <x:c r="M40" s="7" t="str">
        <x:v>已完成</x:v>
      </x:c>
      <x:c r="N40" s="7" t="str">
        <x:v>微信私域</x:v>
      </x:c>
    </x:row>
    <x:row r="41">
      <x:c r="A41" s="7" t="str">
        <x:v>SO-202607-0038</x:v>
      </x:c>
      <x:c r="B41" s="18" t="n">
        <x:v>46227</x:v>
      </x:c>
      <x:c r="C41" s="7" t="str">
        <x:v>CUS-002</x:v>
      </x:c>
      <x:c r="D41" s="7" t="str">
        <x:v>杭州女装集合店</x:v>
      </x:c>
      <x:c r="E41" s="7" t="str">
        <x:v>FS-2406</x:v>
      </x:c>
      <x:c r="F41" s="7" t="str">
        <x:v>港风短袖衬衫</x:v>
      </x:c>
      <x:c r="G41" s="7" t="n">
        <x:v>15</x:v>
      </x:c>
      <x:c r="H41" s="19" t="n">
        <x:v>64</x:v>
      </x:c>
      <x:c r="I41" s="7" t="n">
        <x:v>0.06</x:v>
      </x:c>
      <x:c r="J41" s="19" t="n">
        <x:v>57.599999999999994</x:v>
      </x:c>
      <x:c r="K41" s="19" t="n">
        <x:v>0</x:v>
      </x:c>
      <x:c r="L41" s="19" t="n">
        <x:v>902.4</x:v>
      </x:c>
      <x:c r="M41" s="7" t="str">
        <x:v>已完成</x:v>
      </x:c>
      <x:c r="N41" s="7" t="str">
        <x:v>微信私域</x:v>
      </x:c>
    </x:row>
    <x:row r="42">
      <x:c r="A42" s="7" t="str">
        <x:v>SO-202607-0039</x:v>
      </x:c>
      <x:c r="B42" s="18" t="n">
        <x:v>46227</x:v>
      </x:c>
      <x:c r="C42" s="7" t="str">
        <x:v>CUS-003</x:v>
      </x:c>
      <x:c r="D42" s="7" t="str">
        <x:v>成都潮流买手店</x:v>
      </x:c>
      <x:c r="E42" s="7" t="str">
        <x:v>FS-2411</x:v>
      </x:c>
      <x:c r="F42" s="7" t="str">
        <x:v>美式宽松卫衣</x:v>
      </x:c>
      <x:c r="G42" s="7" t="n">
        <x:v>16</x:v>
      </x:c>
      <x:c r="H42" s="19" t="n">
        <x:v>88</x:v>
      </x:c>
      <x:c r="I42" s="7" t="n">
        <x:v>0.03</x:v>
      </x:c>
      <x:c r="J42" s="19" t="n">
        <x:v>42.239999999999995</x:v>
      </x:c>
      <x:c r="K42" s="19" t="n">
        <x:v>0</x:v>
      </x:c>
      <x:c r="L42" s="19" t="n">
        <x:v>1365.76</x:v>
      </x:c>
      <x:c r="M42" s="7" t="str">
        <x:v>已完成</x:v>
      </x:c>
      <x:c r="N42" s="7" t="str">
        <x:v>线下档口</x:v>
      </x:c>
    </x:row>
    <x:row r="43">
      <x:c r="A43" s="7" t="str">
        <x:v>SO-202607-0040</x:v>
      </x:c>
      <x:c r="B43" s="18" t="n">
        <x:v>46227</x:v>
      </x:c>
      <x:c r="C43" s="7" t="str">
        <x:v>CUS-004</x:v>
      </x:c>
      <x:c r="D43" s="7" t="str">
        <x:v>武汉汉正街档口</x:v>
      </x:c>
      <x:c r="E43" s="7" t="str">
        <x:v>FS-2404</x:v>
      </x:c>
      <x:c r="F43" s="7" t="str">
        <x:v>高腰阔腿西装裤</x:v>
      </x:c>
      <x:c r="G43" s="7" t="n">
        <x:v>17</x:v>
      </x:c>
      <x:c r="H43" s="19" t="n">
        <x:v>70</x:v>
      </x:c>
      <x:c r="I43" s="7" t="n">
        <x:v>0.06</x:v>
      </x:c>
      <x:c r="J43" s="19" t="n">
        <x:v>71.39999999999999</x:v>
      </x:c>
      <x:c r="K43" s="19" t="n">
        <x:v>0</x:v>
      </x:c>
      <x:c r="L43" s="19" t="n">
        <x:v>1118.6</x:v>
      </x:c>
      <x:c r="M43" s="7" t="str">
        <x:v>已完成</x:v>
      </x:c>
      <x:c r="N43" s="7" t="str">
        <x:v>微信私域</x:v>
      </x:c>
    </x:row>
    <x:row r="44">
      <x:c r="A44" s="7" t="str">
        <x:v>SO-202607-0041</x:v>
      </x:c>
      <x:c r="B44" s="18" t="n">
        <x:v>46228</x:v>
      </x:c>
      <x:c r="C44" s="7" t="str">
        <x:v>CUS-002</x:v>
      </x:c>
      <x:c r="D44" s="7" t="str">
        <x:v>杭州女装集合店</x:v>
      </x:c>
      <x:c r="E44" s="7" t="str">
        <x:v>FS-2404</x:v>
      </x:c>
      <x:c r="F44" s="7" t="str">
        <x:v>高腰阔腿西装裤</x:v>
      </x:c>
      <x:c r="G44" s="7" t="n">
        <x:v>15</x:v>
      </x:c>
      <x:c r="H44" s="19" t="n">
        <x:v>70</x:v>
      </x:c>
      <x:c r="I44" s="7" t="n">
        <x:v>0.06</x:v>
      </x:c>
      <x:c r="J44" s="19" t="n">
        <x:v>63</x:v>
      </x:c>
      <x:c r="K44" s="19" t="n">
        <x:v>0</x:v>
      </x:c>
      <x:c r="L44" s="19" t="n">
        <x:v>987</x:v>
      </x:c>
      <x:c r="M44" s="7" t="str">
        <x:v>已完成</x:v>
      </x:c>
      <x:c r="N44" s="7" t="str">
        <x:v>微信私域</x:v>
      </x:c>
    </x:row>
    <x:row r="45">
      <x:c r="A45" s="7" t="str">
        <x:v>SO-202607-0042</x:v>
      </x:c>
      <x:c r="B45" s="18" t="n">
        <x:v>46228</x:v>
      </x:c>
      <x:c r="C45" s="7" t="str">
        <x:v>CUS-003</x:v>
      </x:c>
      <x:c r="D45" s="7" t="str">
        <x:v>成都潮流买手店</x:v>
      </x:c>
      <x:c r="E45" s="7" t="str">
        <x:v>FS-2409</x:v>
      </x:c>
      <x:c r="F45" s="7" t="str">
        <x:v>垂感醋酸半身裙</x:v>
      </x:c>
      <x:c r="G45" s="7" t="n">
        <x:v>16</x:v>
      </x:c>
      <x:c r="H45" s="19" t="n">
        <x:v>81</x:v>
      </x:c>
      <x:c r="I45" s="7" t="n">
        <x:v>0.03</x:v>
      </x:c>
      <x:c r="J45" s="19" t="n">
        <x:v>38.879999999999995</x:v>
      </x:c>
      <x:c r="K45" s="19" t="n">
        <x:v>0</x:v>
      </x:c>
      <x:c r="L45" s="19" t="n">
        <x:v>1257.12</x:v>
      </x:c>
      <x:c r="M45" s="7" t="str">
        <x:v>已完成</x:v>
      </x:c>
      <x:c r="N45" s="7" t="str">
        <x:v>抖音店铺</x:v>
      </x:c>
    </x:row>
    <x:row r="46">
      <x:c r="A46" s="7" t="str">
        <x:v>SO-202607-0043</x:v>
      </x:c>
      <x:c r="B46" s="18" t="n">
        <x:v>46228</x:v>
      </x:c>
      <x:c r="C46" s="7" t="str">
        <x:v>CUS-004</x:v>
      </x:c>
      <x:c r="D46" s="7" t="str">
        <x:v>武汉汉正街档口</x:v>
      </x:c>
      <x:c r="E46" s="7" t="str">
        <x:v>FS-2402</x:v>
      </x:c>
      <x:c r="F46" s="7" t="str">
        <x:v>法式方领碎花连衣裙</x:v>
      </x:c>
      <x:c r="G46" s="7" t="n">
        <x:v>17</x:v>
      </x:c>
      <x:c r="H46" s="19" t="n">
        <x:v>68</x:v>
      </x:c>
      <x:c r="I46" s="7" t="n">
        <x:v>0.06</x:v>
      </x:c>
      <x:c r="J46" s="19" t="n">
        <x:v>69.36</x:v>
      </x:c>
      <x:c r="K46" s="19" t="n">
        <x:v>0</x:v>
      </x:c>
      <x:c r="L46" s="19" t="n">
        <x:v>1086.64</x:v>
      </x:c>
      <x:c r="M46" s="7" t="str">
        <x:v>已完成</x:v>
      </x:c>
      <x:c r="N46" s="7" t="str">
        <x:v>微信私域</x:v>
      </x:c>
    </x:row>
    <x:row r="47">
      <x:c r="A47" s="7" t="str">
        <x:v>SO-202607-0044</x:v>
      </x:c>
      <x:c r="B47" s="18" t="n">
        <x:v>46228</x:v>
      </x:c>
      <x:c r="C47" s="7" t="str">
        <x:v>CUS-005</x:v>
      </x:c>
      <x:c r="D47" s="7" t="str">
        <x:v>长沙衣橱直播间</x:v>
      </x:c>
      <x:c r="E47" s="7" t="str">
        <x:v>FS-2407</x:v>
      </x:c>
      <x:c r="F47" s="7" t="str">
        <x:v>基础百搭背心</x:v>
      </x:c>
      <x:c r="G47" s="7" t="n">
        <x:v>4</x:v>
      </x:c>
      <x:c r="H47" s="19" t="n">
        <x:v>31</x:v>
      </x:c>
      <x:c r="I47" s="7" t="n">
        <x:v>0.03</x:v>
      </x:c>
      <x:c r="J47" s="19" t="n">
        <x:v>3.7199999999999998</x:v>
      </x:c>
      <x:c r="K47" s="19" t="n">
        <x:v>12</x:v>
      </x:c>
      <x:c r="L47" s="19" t="n">
        <x:v>132.28</x:v>
      </x:c>
      <x:c r="M47" s="7" t="str">
        <x:v>已完成</x:v>
      </x:c>
      <x:c r="N47" s="7" t="str">
        <x:v>微信私域</x:v>
      </x:c>
    </x:row>
    <x:row r="48">
      <x:c r="A48" s="7" t="str">
        <x:v>SO-202607-0045</x:v>
      </x:c>
      <x:c r="B48" s="18" t="n">
        <x:v>46229</x:v>
      </x:c>
      <x:c r="C48" s="7" t="str">
        <x:v>CUS-003</x:v>
      </x:c>
      <x:c r="D48" s="7" t="str">
        <x:v>成都潮流买手店</x:v>
      </x:c>
      <x:c r="E48" s="7" t="str">
        <x:v>FS-2407</x:v>
      </x:c>
      <x:c r="F48" s="7" t="str">
        <x:v>基础百搭背心</x:v>
      </x:c>
      <x:c r="G48" s="7" t="n">
        <x:v>16</x:v>
      </x:c>
      <x:c r="H48" s="19" t="n">
        <x:v>31</x:v>
      </x:c>
      <x:c r="I48" s="7" t="n">
        <x:v>0.03</x:v>
      </x:c>
      <x:c r="J48" s="19" t="n">
        <x:v>14.879999999999999</x:v>
      </x:c>
      <x:c r="K48" s="19" t="n">
        <x:v>0</x:v>
      </x:c>
      <x:c r="L48" s="19" t="n">
        <x:v>481.12</x:v>
      </x:c>
      <x:c r="M48" s="7" t="str">
        <x:v>待发货</x:v>
      </x:c>
      <x:c r="N48" s="7" t="str">
        <x:v>线下档口</x:v>
      </x:c>
    </x:row>
    <x:row r="49">
      <x:c r="A49" s="7" t="str">
        <x:v>SO-202607-0046</x:v>
      </x:c>
      <x:c r="B49" s="18" t="n">
        <x:v>46229</x:v>
      </x:c>
      <x:c r="C49" s="7" t="str">
        <x:v>CUS-004</x:v>
      </x:c>
      <x:c r="D49" s="7" t="str">
        <x:v>武汉汉正街档口</x:v>
      </x:c>
      <x:c r="E49" s="7" t="str">
        <x:v>FS-2412</x:v>
      </x:c>
      <x:c r="F49" s="7" t="str">
        <x:v>格纹百褶短裙</x:v>
      </x:c>
      <x:c r="G49" s="7" t="n">
        <x:v>17</x:v>
      </x:c>
      <x:c r="H49" s="19" t="n">
        <x:v>62</x:v>
      </x:c>
      <x:c r="I49" s="7" t="n">
        <x:v>0.06</x:v>
      </x:c>
      <x:c r="J49" s="19" t="n">
        <x:v>63.239999999999995</x:v>
      </x:c>
      <x:c r="K49" s="19" t="n">
        <x:v>0</x:v>
      </x:c>
      <x:c r="L49" s="19" t="n">
        <x:v>990.76</x:v>
      </x:c>
      <x:c r="M49" s="7" t="str">
        <x:v>已完成</x:v>
      </x:c>
      <x:c r="N49" s="7" t="str">
        <x:v>微信私域</x:v>
      </x:c>
    </x:row>
    <x:row r="50">
      <x:c r="A50" s="7" t="str">
        <x:v>SO-202607-0047</x:v>
      </x:c>
      <x:c r="B50" s="18" t="n">
        <x:v>46229</x:v>
      </x:c>
      <x:c r="C50" s="7" t="str">
        <x:v>CUS-005</x:v>
      </x:c>
      <x:c r="D50" s="7" t="str">
        <x:v>长沙衣橱直播间</x:v>
      </x:c>
      <x:c r="E50" s="7" t="str">
        <x:v>FS-2405</x:v>
      </x:c>
      <x:c r="F50" s="7" t="str">
        <x:v>冰丝针织开衫</x:v>
      </x:c>
      <x:c r="G50" s="7" t="n">
        <x:v>4</x:v>
      </x:c>
      <x:c r="H50" s="19" t="n">
        <x:v>65</x:v>
      </x:c>
      <x:c r="I50" s="7" t="n">
        <x:v>0.03</x:v>
      </x:c>
      <x:c r="J50" s="19" t="n">
        <x:v>7.8</x:v>
      </x:c>
      <x:c r="K50" s="19" t="n">
        <x:v>12</x:v>
      </x:c>
      <x:c r="L50" s="19" t="n">
        <x:v>264.2</x:v>
      </x:c>
      <x:c r="M50" s="7" t="str">
        <x:v>已完成</x:v>
      </x:c>
      <x:c r="N50" s="7" t="str">
        <x:v>微信私域</x:v>
      </x:c>
    </x:row>
    <x:row r="51">
      <x:c r="A51" s="7" t="str">
        <x:v>SO-202607-0048</x:v>
      </x:c>
      <x:c r="B51" s="18" t="n">
        <x:v>46229</x:v>
      </x:c>
      <x:c r="C51" s="7" t="str">
        <x:v>CUS-006</x:v>
      </x:c>
      <x:c r="D51" s="7" t="str">
        <x:v>义乌小商品城店</x:v>
      </x:c>
      <x:c r="E51" s="7" t="str">
        <x:v>FS-2410</x:v>
      </x:c>
      <x:c r="F51" s="7" t="str">
        <x:v>轻薄防晒衬衣</x:v>
      </x:c>
      <x:c r="G51" s="7" t="n">
        <x:v>5</x:v>
      </x:c>
      <x:c r="H51" s="19" t="n">
        <x:v>61</x:v>
      </x:c>
      <x:c r="I51" s="7" t="n">
        <x:v>0.03</x:v>
      </x:c>
      <x:c r="J51" s="19" t="n">
        <x:v>9.15</x:v>
      </x:c>
      <x:c r="K51" s="19" t="n">
        <x:v>12</x:v>
      </x:c>
      <x:c r="L51" s="19" t="n">
        <x:v>307.85</x:v>
      </x:c>
      <x:c r="M51" s="7" t="str">
        <x:v>已完成</x:v>
      </x:c>
      <x:c r="N51" s="7" t="str">
        <x:v>线下档口</x:v>
      </x:c>
    </x:row>
    <x:row r="52">
      <x:c r="A52" s="7" t="str">
        <x:v>SO-202607-0049</x:v>
      </x:c>
      <x:c r="B52" s="18" t="n">
        <x:v>46230</x:v>
      </x:c>
      <x:c r="C52" s="7" t="str">
        <x:v>CUS-004</x:v>
      </x:c>
      <x:c r="D52" s="7" t="str">
        <x:v>武汉汉正街档口</x:v>
      </x:c>
      <x:c r="E52" s="7" t="str">
        <x:v>FS-2410</x:v>
      </x:c>
      <x:c r="F52" s="7" t="str">
        <x:v>轻薄防晒衬衣</x:v>
      </x:c>
      <x:c r="G52" s="7" t="n">
        <x:v>17</x:v>
      </x:c>
      <x:c r="H52" s="19" t="n">
        <x:v>57</x:v>
      </x:c>
      <x:c r="I52" s="7" t="n">
        <x:v>0.06</x:v>
      </x:c>
      <x:c r="J52" s="19" t="n">
        <x:v>58.14</x:v>
      </x:c>
      <x:c r="K52" s="19" t="n">
        <x:v>0</x:v>
      </x:c>
      <x:c r="L52" s="19" t="n">
        <x:v>910.86</x:v>
      </x:c>
      <x:c r="M52" s="7" t="str">
        <x:v>已完成</x:v>
      </x:c>
      <x:c r="N52" s="7" t="str">
        <x:v>抖音店铺</x:v>
      </x:c>
    </x:row>
    <x:row r="53">
      <x:c r="A53" s="7" t="str">
        <x:v>SO-202607-0050</x:v>
      </x:c>
      <x:c r="B53" s="18" t="n">
        <x:v>46230</x:v>
      </x:c>
      <x:c r="C53" s="7" t="str">
        <x:v>CUS-005</x:v>
      </x:c>
      <x:c r="D53" s="7" t="str">
        <x:v>长沙衣橱直播间</x:v>
      </x:c>
      <x:c r="E53" s="7" t="str">
        <x:v>FS-2403</x:v>
      </x:c>
      <x:c r="F53" s="7" t="str">
        <x:v>宽松纯棉印花T恤</x:v>
      </x:c>
      <x:c r="G53" s="7" t="n">
        <x:v>4</x:v>
      </x:c>
      <x:c r="H53" s="19" t="n">
        <x:v>41</x:v>
      </x:c>
      <x:c r="I53" s="7" t="n">
        <x:v>0.03</x:v>
      </x:c>
      <x:c r="J53" s="19" t="n">
        <x:v>4.92</x:v>
      </x:c>
      <x:c r="K53" s="19" t="n">
        <x:v>12</x:v>
      </x:c>
      <x:c r="L53" s="19" t="n">
        <x:v>171.08</x:v>
      </x:c>
      <x:c r="M53" s="7" t="str">
        <x:v>已完成</x:v>
      </x:c>
      <x:c r="N53" s="7" t="str">
        <x:v>微信私域</x:v>
      </x:c>
    </x:row>
    <x:row r="54">
      <x:c r="A54" s="7" t="str">
        <x:v>SO-202607-0051</x:v>
      </x:c>
      <x:c r="B54" s="18" t="n">
        <x:v>46230</x:v>
      </x:c>
      <x:c r="C54" s="7" t="str">
        <x:v>CUS-006</x:v>
      </x:c>
      <x:c r="D54" s="7" t="str">
        <x:v>义乌小商品城店</x:v>
      </x:c>
      <x:c r="E54" s="7" t="str">
        <x:v>FS-2408</x:v>
      </x:c>
      <x:c r="F54" s="7" t="str">
        <x:v>运动速干短裤</x:v>
      </x:c>
      <x:c r="G54" s="7" t="n">
        <x:v>5</x:v>
      </x:c>
      <x:c r="H54" s="19" t="n">
        <x:v>55</x:v>
      </x:c>
      <x:c r="I54" s="7" t="n">
        <x:v>0.03</x:v>
      </x:c>
      <x:c r="J54" s="19" t="n">
        <x:v>8.25</x:v>
      </x:c>
      <x:c r="K54" s="19" t="n">
        <x:v>12</x:v>
      </x:c>
      <x:c r="L54" s="19" t="n">
        <x:v>278.75</x:v>
      </x:c>
      <x:c r="M54" s="7" t="str">
        <x:v>已完成</x:v>
      </x:c>
      <x:c r="N54" s="7" t="str">
        <x:v>线下档口</x:v>
      </x:c>
    </x:row>
    <x:row r="55">
      <x:c r="A55" s="7" t="str">
        <x:v>SO-202607-0052</x:v>
      </x:c>
      <x:c r="B55" s="18" t="n">
        <x:v>46230</x:v>
      </x:c>
      <x:c r="C55" s="7" t="str">
        <x:v>CUS-007</x:v>
      </x:c>
      <x:c r="D55" s="7" t="str">
        <x:v>郑州银基商贸</x:v>
      </x:c>
      <x:c r="E55" s="7" t="str">
        <x:v>FS-2401</x:v>
      </x:c>
      <x:c r="F55" s="7" t="str">
        <x:v>复古水洗直筒牛仔裤</x:v>
      </x:c>
      <x:c r="G55" s="7" t="n">
        <x:v>6</x:v>
      </x:c>
      <x:c r="H55" s="19" t="n">
        <x:v>81</x:v>
      </x:c>
      <x:c r="I55" s="7" t="n">
        <x:v>0.06</x:v>
      </x:c>
      <x:c r="J55" s="19" t="n">
        <x:v>29.16</x:v>
      </x:c>
      <x:c r="K55" s="19" t="n">
        <x:v>12</x:v>
      </x:c>
      <x:c r="L55" s="19" t="n">
        <x:v>468.84</x:v>
      </x:c>
      <x:c r="M55" s="7" t="str">
        <x:v>已完成</x:v>
      </x:c>
      <x:c r="N55" s="7" t="str">
        <x:v>微信私域</x:v>
      </x:c>
    </x:row>
    <x:row r="56">
      <x:c r="A56" s="7" t="str">
        <x:v>SO-202607-0053</x:v>
      </x:c>
      <x:c r="B56" s="18" t="n">
        <x:v>46231</x:v>
      </x:c>
      <x:c r="C56" s="7" t="str">
        <x:v>CUS-005</x:v>
      </x:c>
      <x:c r="D56" s="7" t="str">
        <x:v>长沙衣橱直播间</x:v>
      </x:c>
      <x:c r="E56" s="7" t="str">
        <x:v>FS-2401</x:v>
      </x:c>
      <x:c r="F56" s="7" t="str">
        <x:v>复古水洗直筒牛仔裤</x:v>
      </x:c>
      <x:c r="G56" s="7" t="n">
        <x:v>4</x:v>
      </x:c>
      <x:c r="H56" s="19" t="n">
        <x:v>85</x:v>
      </x:c>
      <x:c r="I56" s="7" t="n">
        <x:v>0.03</x:v>
      </x:c>
      <x:c r="J56" s="19" t="n">
        <x:v>10.2</x:v>
      </x:c>
      <x:c r="K56" s="19" t="n">
        <x:v>12</x:v>
      </x:c>
      <x:c r="L56" s="19" t="n">
        <x:v>341.8</x:v>
      </x:c>
      <x:c r="M56" s="7" t="str">
        <x:v>已完成</x:v>
      </x:c>
      <x:c r="N56" s="7" t="str">
        <x:v>微信私域</x:v>
      </x:c>
    </x:row>
    <x:row r="57">
      <x:c r="A57" s="7" t="str">
        <x:v>SO-202607-0054</x:v>
      </x:c>
      <x:c r="B57" s="18" t="n">
        <x:v>46231</x:v>
      </x:c>
      <x:c r="C57" s="7" t="str">
        <x:v>CUS-006</x:v>
      </x:c>
      <x:c r="D57" s="7" t="str">
        <x:v>义乌小商品城店</x:v>
      </x:c>
      <x:c r="E57" s="7" t="str">
        <x:v>FS-2406</x:v>
      </x:c>
      <x:c r="F57" s="7" t="str">
        <x:v>港风短袖衬衫</x:v>
      </x:c>
      <x:c r="G57" s="7" t="n">
        <x:v>5</x:v>
      </x:c>
      <x:c r="H57" s="19" t="n">
        <x:v>68</x:v>
      </x:c>
      <x:c r="I57" s="7" t="n">
        <x:v>0.03</x:v>
      </x:c>
      <x:c r="J57" s="19" t="n">
        <x:v>10.2</x:v>
      </x:c>
      <x:c r="K57" s="19" t="n">
        <x:v>12</x:v>
      </x:c>
      <x:c r="L57" s="19" t="n">
        <x:v>341.8</x:v>
      </x:c>
      <x:c r="M57" s="7" t="str">
        <x:v>待发货</x:v>
      </x:c>
      <x:c r="N57" s="7" t="str">
        <x:v>线下档口</x:v>
      </x:c>
    </x:row>
    <x:row r="58">
      <x:c r="A58" s="7" t="str">
        <x:v>SO-202607-0055</x:v>
      </x:c>
      <x:c r="B58" s="18" t="n">
        <x:v>46231</x:v>
      </x:c>
      <x:c r="C58" s="7" t="str">
        <x:v>CUS-007</x:v>
      </x:c>
      <x:c r="D58" s="7" t="str">
        <x:v>郑州银基商贸</x:v>
      </x:c>
      <x:c r="E58" s="7" t="str">
        <x:v>FS-2411</x:v>
      </x:c>
      <x:c r="F58" s="7" t="str">
        <x:v>美式宽松卫衣</x:v>
      </x:c>
      <x:c r="G58" s="7" t="n">
        <x:v>6</x:v>
      </x:c>
      <x:c r="H58" s="19" t="n">
        <x:v>84</x:v>
      </x:c>
      <x:c r="I58" s="7" t="n">
        <x:v>0.06</x:v>
      </x:c>
      <x:c r="J58" s="19" t="n">
        <x:v>30.24</x:v>
      </x:c>
      <x:c r="K58" s="19" t="n">
        <x:v>12</x:v>
      </x:c>
      <x:c r="L58" s="19" t="n">
        <x:v>485.76</x:v>
      </x:c>
      <x:c r="M58" s="7" t="str">
        <x:v>已完成</x:v>
      </x:c>
      <x:c r="N58" s="7" t="str">
        <x:v>微信私域</x:v>
      </x:c>
    </x:row>
    <x:row r="59">
      <x:c r="A59" s="7" t="str">
        <x:v>SO-202607-0056</x:v>
      </x:c>
      <x:c r="B59" s="18" t="n">
        <x:v>46231</x:v>
      </x:c>
      <x:c r="C59" s="7" t="str">
        <x:v>CUS-008</x:v>
      </x:c>
      <x:c r="D59" s="7" t="str">
        <x:v>上海线上分销商</x:v>
      </x:c>
      <x:c r="E59" s="7" t="str">
        <x:v>FS-2404</x:v>
      </x:c>
      <x:c r="F59" s="7" t="str">
        <x:v>高腰阔腿西装裤</x:v>
      </x:c>
      <x:c r="G59" s="7" t="n">
        <x:v>7</x:v>
      </x:c>
      <x:c r="H59" s="19" t="n">
        <x:v>70</x:v>
      </x:c>
      <x:c r="I59" s="7" t="n">
        <x:v>0.06</x:v>
      </x:c>
      <x:c r="J59" s="19" t="n">
        <x:v>29.4</x:v>
      </x:c>
      <x:c r="K59" s="19" t="n">
        <x:v>12</x:v>
      </x:c>
      <x:c r="L59" s="19" t="n">
        <x:v>472.6</x:v>
      </x:c>
      <x:c r="M59" s="7" t="str">
        <x:v>已完成</x:v>
      </x:c>
      <x:c r="N59" s="7" t="str">
        <x:v>抖音店铺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a29805f13c4c42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4" hidden="0" customWidth="1"/>
    <x:col min="5" max="5" width="12" hidden="0" customWidth="1"/>
  </x:cols>
  <x:sheetData>
    <x:row r="1" ht="30" customHeight="1">
      <x:c r="A1" s="3" t="str">
        <x:v>客户档案 · 渠道客户与等级</x:v>
      </x:c>
    </x:row>
    <x:row r="3">
      <x:c r="A3" s="17" t="str">
        <x:v>客户编号</x:v>
      </x:c>
      <x:c r="B3" s="17" t="str">
        <x:v>客户名称</x:v>
      </x:c>
      <x:c r="C3" s="17" t="str">
        <x:v>省份</x:v>
      </x:c>
      <x:c r="D3" s="17" t="str">
        <x:v>客户类型</x:v>
      </x:c>
      <x:c r="E3" s="17" t="str">
        <x:v>客户等级</x:v>
      </x:c>
    </x:row>
    <x:row r="4">
      <x:c r="A4" s="7" t="str">
        <x:v>CUS-001</x:v>
      </x:c>
      <x:c r="B4" s="7" t="str">
        <x:v>广州白马服饰店</x:v>
      </x:c>
      <x:c r="C4" s="7" t="str">
        <x:v>广东</x:v>
      </x:c>
      <x:c r="D4" s="7" t="str">
        <x:v>批发商</x:v>
      </x:c>
      <x:c r="E4" s="7" t="str">
        <x:v>A级</x:v>
      </x:c>
    </x:row>
    <x:row r="5">
      <x:c r="A5" s="7" t="str">
        <x:v>CUS-002</x:v>
      </x:c>
      <x:c r="B5" s="7" t="str">
        <x:v>杭州女装集合店</x:v>
      </x:c>
      <x:c r="C5" s="7" t="str">
        <x:v>浙江</x:v>
      </x:c>
      <x:c r="D5" s="7" t="str">
        <x:v>零售店</x:v>
      </x:c>
      <x:c r="E5" s="7" t="str">
        <x:v>A级</x:v>
      </x:c>
    </x:row>
    <x:row r="6">
      <x:c r="A6" s="7" t="str">
        <x:v>CUS-003</x:v>
      </x:c>
      <x:c r="B6" s="7" t="str">
        <x:v>成都潮流买手店</x:v>
      </x:c>
      <x:c r="C6" s="7" t="str">
        <x:v>四川</x:v>
      </x:c>
      <x:c r="D6" s="7" t="str">
        <x:v>买手店</x:v>
      </x:c>
      <x:c r="E6" s="7" t="str">
        <x:v>B级</x:v>
      </x:c>
    </x:row>
    <x:row r="7">
      <x:c r="A7" s="7" t="str">
        <x:v>CUS-004</x:v>
      </x:c>
      <x:c r="B7" s="7" t="str">
        <x:v>武汉汉正街档口</x:v>
      </x:c>
      <x:c r="C7" s="7" t="str">
        <x:v>湖北</x:v>
      </x:c>
      <x:c r="D7" s="7" t="str">
        <x:v>批发商</x:v>
      </x:c>
      <x:c r="E7" s="7" t="str">
        <x:v>A级</x:v>
      </x:c>
    </x:row>
    <x:row r="8">
      <x:c r="A8" s="7" t="str">
        <x:v>CUS-005</x:v>
      </x:c>
      <x:c r="B8" s="7" t="str">
        <x:v>长沙衣橱直播间</x:v>
      </x:c>
      <x:c r="C8" s="7" t="str">
        <x:v>湖南</x:v>
      </x:c>
      <x:c r="D8" s="7" t="str">
        <x:v>直播商家</x:v>
      </x:c>
      <x:c r="E8" s="7" t="str">
        <x:v>B级</x:v>
      </x:c>
    </x:row>
    <x:row r="9">
      <x:c r="A9" s="7" t="str">
        <x:v>CUS-006</x:v>
      </x:c>
      <x:c r="B9" s="7" t="str">
        <x:v>义乌小商品城店</x:v>
      </x:c>
      <x:c r="C9" s="7" t="str">
        <x:v>浙江</x:v>
      </x:c>
      <x:c r="D9" s="7" t="str">
        <x:v>批发商</x:v>
      </x:c>
      <x:c r="E9" s="7" t="str">
        <x:v>B级</x:v>
      </x:c>
    </x:row>
    <x:row r="10">
      <x:c r="A10" s="7" t="str">
        <x:v>CUS-007</x:v>
      </x:c>
      <x:c r="B10" s="7" t="str">
        <x:v>郑州银基商贸</x:v>
      </x:c>
      <x:c r="C10" s="7" t="str">
        <x:v>河南</x:v>
      </x:c>
      <x:c r="D10" s="7" t="str">
        <x:v>批发商</x:v>
      </x:c>
      <x:c r="E10" s="7" t="str">
        <x:v>A级</x:v>
      </x:c>
    </x:row>
    <x:row r="11">
      <x:c r="A11" s="7" t="str">
        <x:v>CUS-008</x:v>
      </x:c>
      <x:c r="B11" s="7" t="str">
        <x:v>上海线上分销商</x:v>
      </x:c>
      <x:c r="C11" s="7" t="str">
        <x:v>上海</x:v>
      </x:c>
      <x:c r="D11" s="7" t="str">
        <x:v>分销商</x:v>
      </x:c>
      <x:c r="E11" s="7" t="str">
        <x:v>A级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297b01d1f01e4b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6" hidden="0" customWidth="1"/>
    <x:col min="8" max="8" width="12" hidden="0" customWidth="1"/>
    <x:col min="9" max="9" width="13" hidden="0" customWidth="1"/>
  </x:cols>
  <x:sheetData>
    <x:row r="1" ht="30" customHeight="1">
      <x:c r="A1" s="3" t="str">
        <x:v>退款售后 · 问题与处理状态</x:v>
      </x:c>
    </x:row>
    <x:row r="3">
      <x:c r="A3" s="17" t="str">
        <x:v>订单号</x:v>
      </x:c>
      <x:c r="B3" s="17" t="str">
        <x:v>订单日期</x:v>
      </x:c>
      <x:c r="C3" s="17" t="str">
        <x:v>客户编号</x:v>
      </x:c>
      <x:c r="D3" s="17" t="str">
        <x:v>款号</x:v>
      </x:c>
      <x:c r="E3" s="17" t="str">
        <x:v>退款数量</x:v>
      </x:c>
      <x:c r="F3" s="17" t="str">
        <x:v>退款金额</x:v>
      </x:c>
      <x:c r="G3" s="17" t="str">
        <x:v>退款原因</x:v>
      </x:c>
      <x:c r="H3" s="17" t="str">
        <x:v>处理状态</x:v>
      </x:c>
      <x:c r="I3" s="17" t="str">
        <x:v>申请日期</x:v>
      </x:c>
    </x:row>
    <x:row r="4">
      <x:c r="A4" s="7" t="str">
        <x:v>SO-202607-0001</x:v>
      </x:c>
      <x:c r="B4" s="18" t="n">
        <x:v>46218</x:v>
      </x:c>
      <x:c r="C4" s="7" t="str">
        <x:v>CUS-008</x:v>
      </x:c>
      <x:c r="D4" s="7" t="str">
        <x:v>FS-2410</x:v>
      </x:c>
      <x:c r="E4" s="7" t="n">
        <x:v>1</x:v>
      </x:c>
      <x:c r="F4" s="19" t="n">
        <x:v>57</x:v>
      </x:c>
      <x:c r="G4" s="7" t="str">
        <x:v>尺码不合适</x:v>
      </x:c>
      <x:c r="H4" s="7" t="str">
        <x:v>已退款</x:v>
      </x:c>
      <x:c r="I4" s="18" t="n">
        <x:v>46229</x:v>
      </x:c>
    </x:row>
    <x:row r="5">
      <x:c r="A5" s="7" t="str">
        <x:v>SO-202607-0012</x:v>
      </x:c>
      <x:c r="B5" s="18" t="n">
        <x:v>46220</x:v>
      </x:c>
      <x:c r="C5" s="7" t="str">
        <x:v>CUS-005</x:v>
      </x:c>
      <x:c r="D5" s="7" t="str">
        <x:v>FS-2407</x:v>
      </x:c>
      <x:c r="E5" s="7" t="n">
        <x:v>2</x:v>
      </x:c>
      <x:c r="F5" s="19" t="n">
        <x:v>62</x:v>
      </x:c>
      <x:c r="G5" s="7" t="str">
        <x:v>色差</x:v>
      </x:c>
      <x:c r="H5" s="7" t="str">
        <x:v>处理中</x:v>
      </x:c>
      <x:c r="I5" s="18" t="n">
        <x:v>46230</x:v>
      </x:c>
    </x:row>
    <x:row r="6">
      <x:c r="A6" s="7" t="str">
        <x:v>SO-202607-0023</x:v>
      </x:c>
      <x:c r="B6" s="18" t="n">
        <x:v>46223</x:v>
      </x:c>
      <x:c r="C6" s="7" t="str">
        <x:v>CUS-007</x:v>
      </x:c>
      <x:c r="D6" s="7" t="str">
        <x:v>FS-2411</x:v>
      </x:c>
      <x:c r="E6" s="7" t="n">
        <x:v>1</x:v>
      </x:c>
      <x:c r="F6" s="19" t="n">
        <x:v>84</x:v>
      </x:c>
      <x:c r="G6" s="7" t="str">
        <x:v>发错款</x:v>
      </x:c>
      <x:c r="H6" s="7" t="str">
        <x:v>已退款</x:v>
      </x:c>
      <x:c r="I6" s="18" t="n">
        <x:v>46231</x:v>
      </x:c>
    </x:row>
    <x:row r="7">
      <x:c r="A7" s="7" t="str">
        <x:v>SO-202607-0034</x:v>
      </x:c>
      <x:c r="B7" s="18" t="n">
        <x:v>46226</x:v>
      </x:c>
      <x:c r="C7" s="7" t="str">
        <x:v>CUS-001</x:v>
      </x:c>
      <x:c r="D7" s="7" t="str">
        <x:v>FS-2403</x:v>
      </x:c>
      <x:c r="E7" s="7" t="n">
        <x:v>2</x:v>
      </x:c>
      <x:c r="F7" s="19" t="n">
        <x:v>74</x:v>
      </x:c>
      <x:c r="G7" s="7" t="str">
        <x:v>质量问题</x:v>
      </x:c>
      <x:c r="H7" s="7" t="str">
        <x:v>处理中</x:v>
      </x:c>
      <x:c r="I7" s="18" t="n">
        <x:v>46229</x:v>
      </x:c>
    </x:row>
    <x:row r="8">
      <x:c r="A8" s="7" t="str">
        <x:v>SO-202607-0045</x:v>
      </x:c>
      <x:c r="B8" s="18" t="n">
        <x:v>46229</x:v>
      </x:c>
      <x:c r="C8" s="7" t="str">
        <x:v>CUS-003</x:v>
      </x:c>
      <x:c r="D8" s="7" t="str">
        <x:v>FS-2407</x:v>
      </x:c>
      <x:c r="E8" s="7" t="n">
        <x:v>1</x:v>
      </x:c>
      <x:c r="F8" s="19" t="n">
        <x:v>31</x:v>
      </x:c>
      <x:c r="G8" s="7" t="str">
        <x:v>物流破损</x:v>
      </x:c>
      <x:c r="H8" s="7" t="str">
        <x:v>已退款</x:v>
      </x:c>
      <x:c r="I8" s="18" t="n">
        <x:v>46230</x:v>
      </x:c>
    </x:row>
    <x:row r="9">
      <x:c r="A9" s="7" t="str">
        <x:v>SO-202607-0056</x:v>
      </x:c>
      <x:c r="B9" s="18" t="n">
        <x:v>46231</x:v>
      </x:c>
      <x:c r="C9" s="7" t="str">
        <x:v>CUS-008</x:v>
      </x:c>
      <x:c r="D9" s="7" t="str">
        <x:v>FS-2404</x:v>
      </x:c>
      <x:c r="E9" s="7" t="n">
        <x:v>2</x:v>
      </x:c>
      <x:c r="F9" s="19" t="n">
        <x:v>140</x:v>
      </x:c>
      <x:c r="G9" s="7" t="str">
        <x:v>不喜欢</x:v>
      </x:c>
      <x:c r="H9" s="7" t="str">
        <x:v>处理中</x:v>
      </x:c>
      <x:c r="I9" s="18" t="n">
        <x:v>46231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3f6539a66794dc6"/>
  </x:tableParts>
</x:worksheet>
</file>