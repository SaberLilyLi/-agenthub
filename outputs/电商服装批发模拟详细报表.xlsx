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1167" activeTab="3"/>
  </bookViews>
  <sheets>
    <sheet name="经营看板" sheetId="1" r:id="rId1"/>
    <sheet name="库存明细" sheetId="2" r:id="rId2"/>
    <sheet name="商品档案" sheetId="3" r:id="rId3"/>
    <sheet name="采购明细" sheetId="4" r:id="rId4"/>
    <sheet name="入库明细" sheetId="5" r:id="rId5"/>
    <sheet name="销售订单" sheetId="6" r:id="rId6"/>
    <sheet name="客户档案" sheetId="7" r:id="rId7"/>
    <sheet name="退款售后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<sst xmlns="http://schemas.openxmlformats.org/spreadsheetml/2006/main" count="780" uniqueCount="231">
  <si>
    <t>2026 年 7 月 · 电商服装批发经营看板</t>
  </si>
  <si>
    <t>本月核心指标</t>
  </si>
  <si>
    <t>数值</t>
  </si>
  <si>
    <t>款号</t>
  </si>
  <si>
    <t>商品名称</t>
  </si>
  <si>
    <t>近14天销量</t>
  </si>
  <si>
    <t>可售库存</t>
  </si>
  <si>
    <t>库存状态</t>
  </si>
  <si>
    <t>测试用法</t>
  </si>
  <si>
    <t>说明</t>
  </si>
  <si>
    <t>销售订单数</t>
  </si>
  <si>
    <t>1. 扫描</t>
  </si>
  <si>
    <t>先运行 WorkBuddy Skill 的 inspect</t>
  </si>
  <si>
    <t>销售金额</t>
  </si>
  <si>
    <t>2. 确认关联</t>
  </si>
  <si>
    <t>确认采购、入库、销售、库存的款号关系</t>
  </si>
  <si>
    <t>销售件数</t>
  </si>
  <si>
    <t>3. 提问</t>
  </si>
  <si>
    <t>例如：本周销量前十但库存低于20的款有哪些？</t>
  </si>
  <si>
    <t>退款金额</t>
  </si>
  <si>
    <t>库存预警款数</t>
  </si>
  <si>
    <t>采购金额</t>
  </si>
  <si>
    <t>库存明细 · 可售库存与补货预警</t>
  </si>
  <si>
    <t>仓库</t>
  </si>
  <si>
    <t>累计入库</t>
  </si>
  <si>
    <t>锁定库存</t>
  </si>
  <si>
    <t>安全库存</t>
  </si>
  <si>
    <t>更新时间</t>
  </si>
  <si>
    <t>FS-2401</t>
  </si>
  <si>
    <t>复古水洗直筒牛仔裤</t>
  </si>
  <si>
    <t>广州仓</t>
  </si>
  <si>
    <t>正常</t>
  </si>
  <si>
    <t>FS-2402</t>
  </si>
  <si>
    <t>法式方领碎花连衣裙</t>
  </si>
  <si>
    <t>FS-2403</t>
  </si>
  <si>
    <t>宽松纯棉印花T恤</t>
  </si>
  <si>
    <t>FS-2404</t>
  </si>
  <si>
    <t>高腰阔腿西装裤</t>
  </si>
  <si>
    <t>FS-2405</t>
  </si>
  <si>
    <t>冰丝针织开衫</t>
  </si>
  <si>
    <t>FS-2406</t>
  </si>
  <si>
    <t>港风短袖衬衫</t>
  </si>
  <si>
    <t>FS-2407</t>
  </si>
  <si>
    <t>基础百搭背心</t>
  </si>
  <si>
    <t>FS-2408</t>
  </si>
  <si>
    <t>运动速干短裤</t>
  </si>
  <si>
    <t>FS-2409</t>
  </si>
  <si>
    <t>垂感醋酸半身裙</t>
  </si>
  <si>
    <t>FS-2410</t>
  </si>
  <si>
    <t>轻薄防晒衬衣</t>
  </si>
  <si>
    <t>FS-2411</t>
  </si>
  <si>
    <t>美式宽松卫衣</t>
  </si>
  <si>
    <t>FS-2412</t>
  </si>
  <si>
    <t>格纹百褶短裙</t>
  </si>
  <si>
    <t>商品档案 · SKU 主数据</t>
  </si>
  <si>
    <t>品类</t>
  </si>
  <si>
    <t>供应商</t>
  </si>
  <si>
    <t>建议进货价</t>
  </si>
  <si>
    <t>建议批发价</t>
  </si>
  <si>
    <t>商品状态</t>
  </si>
  <si>
    <t>女装</t>
  </si>
  <si>
    <t>广州优衣供应链</t>
  </si>
  <si>
    <t>主推</t>
  </si>
  <si>
    <t>杭州潮品厂</t>
  </si>
  <si>
    <t>东莞棉感制衣</t>
  </si>
  <si>
    <t>常规</t>
  </si>
  <si>
    <t>男装</t>
  </si>
  <si>
    <t>深圳潮男工坊</t>
  </si>
  <si>
    <t>引流</t>
  </si>
  <si>
    <t>男女同款</t>
  </si>
  <si>
    <t>新品</t>
  </si>
  <si>
    <t>采购明细 · 进货与供应商对账</t>
  </si>
  <si>
    <t>采购单号</t>
  </si>
  <si>
    <t>进货数量</t>
  </si>
  <si>
    <t>进货单价</t>
  </si>
  <si>
    <t>进货金额</t>
  </si>
  <si>
    <t>日期</t>
  </si>
  <si>
    <t>到货状态</t>
  </si>
  <si>
    <t>入库仓</t>
  </si>
  <si>
    <t>PO-202607-001</t>
  </si>
  <si>
    <t>已到货</t>
  </si>
  <si>
    <t>PO-202607-002</t>
  </si>
  <si>
    <t>PO-202607-003</t>
  </si>
  <si>
    <t>PO-202607-004</t>
  </si>
  <si>
    <t>PO-202607-005</t>
  </si>
  <si>
    <t>PO-202607-006</t>
  </si>
  <si>
    <t>PO-202607-007</t>
  </si>
  <si>
    <t>PO-202607-008</t>
  </si>
  <si>
    <t>PO-202607-009</t>
  </si>
  <si>
    <t>PO-202607-010</t>
  </si>
  <si>
    <t>PO-202607-011</t>
  </si>
  <si>
    <t>PO-202607-012</t>
  </si>
  <si>
    <t>入库明细 · 仓库收货记录</t>
  </si>
  <si>
    <t>入库单号</t>
  </si>
  <si>
    <t>入库数量</t>
  </si>
  <si>
    <t>入库日期</t>
  </si>
  <si>
    <t>质检状态</t>
  </si>
  <si>
    <t>IN-202607-001</t>
  </si>
  <si>
    <t>质检通过</t>
  </si>
  <si>
    <t>IN-202607-002</t>
  </si>
  <si>
    <t>IN-202607-003</t>
  </si>
  <si>
    <t>IN-202607-004</t>
  </si>
  <si>
    <t>IN-202607-005</t>
  </si>
  <si>
    <t>IN-202607-006</t>
  </si>
  <si>
    <t>IN-202607-007</t>
  </si>
  <si>
    <t>IN-202607-008</t>
  </si>
  <si>
    <t>IN-202607-009</t>
  </si>
  <si>
    <t>IN-202607-010</t>
  </si>
  <si>
    <t>IN-202607-011</t>
  </si>
  <si>
    <t>IN-202607-012</t>
  </si>
  <si>
    <t>销售订单 · 渠道与客户销售明细</t>
  </si>
  <si>
    <t>订单号</t>
  </si>
  <si>
    <t>订单日期</t>
  </si>
  <si>
    <t>客户编号</t>
  </si>
  <si>
    <t>客户名称</t>
  </si>
  <si>
    <t>销售数量</t>
  </si>
  <si>
    <t>批发单价</t>
  </si>
  <si>
    <t>折扣率</t>
  </si>
  <si>
    <t>优惠金额</t>
  </si>
  <si>
    <t>运费</t>
  </si>
  <si>
    <t>实收金额</t>
  </si>
  <si>
    <t>订单状态</t>
  </si>
  <si>
    <t>销售渠道</t>
  </si>
  <si>
    <t>SO-202607-0001</t>
  </si>
  <si>
    <t>CUS-008</t>
  </si>
  <si>
    <t>上海线上分销商</t>
  </si>
  <si>
    <t>已完成</t>
  </si>
  <si>
    <t>微信私域</t>
  </si>
  <si>
    <t>SO-202607-0002</t>
  </si>
  <si>
    <t>CUS-001</t>
  </si>
  <si>
    <t>广州白马服饰店</t>
  </si>
  <si>
    <t>SO-202607-0003</t>
  </si>
  <si>
    <t>CUS-002</t>
  </si>
  <si>
    <t>杭州女装集合店</t>
  </si>
  <si>
    <t>线下档口</t>
  </si>
  <si>
    <t>SO-202607-0004</t>
  </si>
  <si>
    <t>CUS-003</t>
  </si>
  <si>
    <t>成都潮流买手店</t>
  </si>
  <si>
    <t>SO-202607-0005</t>
  </si>
  <si>
    <t>SO-202607-0006</t>
  </si>
  <si>
    <t>SO-202607-0007</t>
  </si>
  <si>
    <t>抖音店铺</t>
  </si>
  <si>
    <t>SO-202607-0008</t>
  </si>
  <si>
    <t>CUS-004</t>
  </si>
  <si>
    <t>武汉汉正街档口</t>
  </si>
  <si>
    <t>SO-202607-0009</t>
  </si>
  <si>
    <t>待发货</t>
  </si>
  <si>
    <t>SO-202607-0010</t>
  </si>
  <si>
    <t>SO-202607-0011</t>
  </si>
  <si>
    <t>SO-202607-0012</t>
  </si>
  <si>
    <t>CUS-005</t>
  </si>
  <si>
    <t>长沙衣橱直播间</t>
  </si>
  <si>
    <t>SO-202607-0013</t>
  </si>
  <si>
    <t>SO-202607-0014</t>
  </si>
  <si>
    <t>SO-202607-0015</t>
  </si>
  <si>
    <t>SO-202607-0016</t>
  </si>
  <si>
    <t>CUS-006</t>
  </si>
  <si>
    <t>义乌小商品城店</t>
  </si>
  <si>
    <t>SO-202607-0017</t>
  </si>
  <si>
    <t>SO-202607-0018</t>
  </si>
  <si>
    <t>SO-202607-0019</t>
  </si>
  <si>
    <t>SO-202607-0020</t>
  </si>
  <si>
    <t>CUS-007</t>
  </si>
  <si>
    <t>郑州银基商贸</t>
  </si>
  <si>
    <t>SO-202607-0021</t>
  </si>
  <si>
    <t>SO-202607-0022</t>
  </si>
  <si>
    <t>SO-202607-0023</t>
  </si>
  <si>
    <t>SO-202607-0024</t>
  </si>
  <si>
    <t>SO-202607-0025</t>
  </si>
  <si>
    <t>SO-202607-0026</t>
  </si>
  <si>
    <t>SO-202607-0027</t>
  </si>
  <si>
    <t>SO-202607-0028</t>
  </si>
  <si>
    <t>SO-202607-0029</t>
  </si>
  <si>
    <t>SO-202607-0030</t>
  </si>
  <si>
    <t>SO-202607-0031</t>
  </si>
  <si>
    <t>SO-202607-0032</t>
  </si>
  <si>
    <t>SO-202607-0033</t>
  </si>
  <si>
    <t>SO-202607-0034</t>
  </si>
  <si>
    <t>SO-202607-0035</t>
  </si>
  <si>
    <t>SO-202607-0036</t>
  </si>
  <si>
    <t>SO-202607-0037</t>
  </si>
  <si>
    <t>SO-202607-0038</t>
  </si>
  <si>
    <t>SO-202607-0039</t>
  </si>
  <si>
    <t>SO-202607-0040</t>
  </si>
  <si>
    <t>SO-202607-0041</t>
  </si>
  <si>
    <t>SO-202607-0042</t>
  </si>
  <si>
    <t>SO-202607-0043</t>
  </si>
  <si>
    <t>SO-202607-0044</t>
  </si>
  <si>
    <t>SO-202607-0045</t>
  </si>
  <si>
    <t>SO-202607-0046</t>
  </si>
  <si>
    <t>SO-202607-0047</t>
  </si>
  <si>
    <t>SO-202607-0048</t>
  </si>
  <si>
    <t>SO-202607-0049</t>
  </si>
  <si>
    <t>SO-202607-0050</t>
  </si>
  <si>
    <t>SO-202607-0051</t>
  </si>
  <si>
    <t>SO-202607-0052</t>
  </si>
  <si>
    <t>SO-202607-0053</t>
  </si>
  <si>
    <t>SO-202607-0054</t>
  </si>
  <si>
    <t>SO-202607-0055</t>
  </si>
  <si>
    <t>SO-202607-0056</t>
  </si>
  <si>
    <t>客户档案 · 渠道客户与等级</t>
  </si>
  <si>
    <t>省份</t>
  </si>
  <si>
    <t>客户类型</t>
  </si>
  <si>
    <t>客户等级</t>
  </si>
  <si>
    <t>广东</t>
  </si>
  <si>
    <t>批发商</t>
  </si>
  <si>
    <t>A级</t>
  </si>
  <si>
    <t>浙江</t>
  </si>
  <si>
    <t>零售店</t>
  </si>
  <si>
    <t>四川</t>
  </si>
  <si>
    <t>买手店</t>
  </si>
  <si>
    <t>B级</t>
  </si>
  <si>
    <t>湖北</t>
  </si>
  <si>
    <t>湖南</t>
  </si>
  <si>
    <t>直播商家</t>
  </si>
  <si>
    <t>河南</t>
  </si>
  <si>
    <t>上海</t>
  </si>
  <si>
    <t>分销商</t>
  </si>
  <si>
    <t>退款售后 · 问题与处理状态</t>
  </si>
  <si>
    <t>退款数量</t>
  </si>
  <si>
    <t>退款原因</t>
  </si>
  <si>
    <t>处理状态</t>
  </si>
  <si>
    <t>申请日期</t>
  </si>
  <si>
    <t>尺码不合适</t>
  </si>
  <si>
    <t>已退款</t>
  </si>
  <si>
    <t>色差</t>
  </si>
  <si>
    <t>处理中</t>
  </si>
  <si>
    <t>发错款</t>
  </si>
  <si>
    <t>质量问题</t>
  </si>
  <si>
    <t>物流破损</t>
  </si>
  <si>
    <t>不喜欢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</si>
</sst>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5">
    <font>
      <sz val="11"/>
      <name val="Carlito"/>
      <charset val="134"/>
    </font>
    <font>
      <b/>
      <sz val="16"/>
      <color rgb="FFFFFFFF"/>
      <name val="Carlito"/>
      <charset val="134"/>
    </font>
    <font>
      <b/>
      <sz val="11"/>
      <color rgb="FFFFFFFF"/>
      <name val="Carlito"/>
      <charset val="134"/>
    </font>
    <font>
      <b/>
      <sz val="11"/>
      <name val="Carlito"/>
      <charset val="134"/>
    </font>
    <font>
      <b/>
      <sz val="11"/>
      <color rgb="FF2563EB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83B5B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0" fillId="0" borderId="0"/>
  </cellStyleXfs>
  <cellXfs count="11">
    <xf numFmtId="0" fontId="0" fillId="0" borderId="0" xfId="49"/>
    <xf numFmtId="0" fontId="1" fillId="2" borderId="0" xfId="49" applyNumberFormat="1" applyFont="1" applyFill="1" applyBorder="1" applyAlignment="1">
      <alignment vertical="center"/>
    </xf>
    <xf numFmtId="0" fontId="2" fillId="3" borderId="1" xfId="49" applyNumberFormat="1" applyFont="1" applyFill="1" applyBorder="1" applyAlignment="1">
      <alignment horizontal="center" wrapText="1"/>
    </xf>
    <xf numFmtId="0" fontId="0" fillId="0" borderId="1" xfId="49" applyNumberFormat="1" applyFont="1" applyFill="1" applyBorder="1"/>
    <xf numFmtId="176" fontId="0" fillId="0" borderId="1" xfId="49" applyNumberFormat="1" applyFont="1" applyFill="1" applyBorder="1"/>
    <xf numFmtId="4" fontId="0" fillId="0" borderId="1" xfId="49" applyNumberFormat="1" applyFont="1" applyFill="1" applyBorder="1"/>
    <xf numFmtId="0" fontId="2" fillId="3" borderId="1" xfId="49" applyNumberFormat="1" applyFont="1" applyFill="1" applyBorder="1"/>
    <xf numFmtId="0" fontId="2" fillId="3" borderId="1" xfId="49" applyNumberFormat="1" applyFont="1" applyFill="1" applyBorder="1" applyAlignment="1">
      <alignment wrapText="1"/>
    </xf>
    <xf numFmtId="0" fontId="3" fillId="4" borderId="1" xfId="49" applyNumberFormat="1" applyFont="1" applyFill="1" applyBorder="1"/>
    <xf numFmtId="4" fontId="4" fillId="0" borderId="1" xfId="49" applyNumberFormat="1" applyFont="1" applyFill="1" applyBorder="1"/>
    <xf numFmtId="0" fontId="0" fillId="0" borderId="1" xfId="49" applyNumberFormat="1" applyFont="1" applyFill="1" applyBorder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8">
    <dxf>
      <font>
        <b val="1"/>
        <color rgb="FFB91C1C"/>
      </font>
      <fill>
        <patternFill patternType="solid">
          <bgColor rgb="FFFEE2E2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库存明细Table" displayName="库存明细Table" ref="A3:J15" totalsRowShown="0">
  <tableColumns count="10">
    <tableColumn id="1" name="款号"/>
    <tableColumn id="2" name="商品名称"/>
    <tableColumn id="3" name="仓库"/>
    <tableColumn id="4" name="累计入库"/>
    <tableColumn id="5" name="近14天销量"/>
    <tableColumn id="6" name="锁定库存"/>
    <tableColumn id="7" name="可售库存"/>
    <tableColumn id="8" name="安全库存"/>
    <tableColumn id="9" name="库存状态"/>
    <tableColumn id="10" name="更新时间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商品档案Table" displayName="商品档案Table" ref="A3:G15" totalsRowShown="0">
  <tableColumns count="7">
    <tableColumn id="1" name="款号"/>
    <tableColumn id="2" name="商品名称"/>
    <tableColumn id="3" name="品类"/>
    <tableColumn id="4" name="供应商"/>
    <tableColumn id="5" name="建议进货价"/>
    <tableColumn id="6" name="建议批发价"/>
    <tableColumn id="7" name="商品状态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采购明细Table" displayName="采购明细Table" ref="A3:I15" totalsRowShown="0">
  <tableColumns count="9">
    <tableColumn id="1" name="采购单号"/>
    <tableColumn id="2" name="款号"/>
    <tableColumn id="3" name="供应商"/>
    <tableColumn id="4" name="进货数量"/>
    <tableColumn id="5" name="进货单价"/>
    <tableColumn id="6" name="进货金额"/>
    <tableColumn id="7" name="日期"/>
    <tableColumn id="8" name="到货状态"/>
    <tableColumn id="9" name="入库仓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入库明细Table" displayName="入库明细Table" ref="A3:G15" totalsRowShown="0">
  <tableColumns count="7">
    <tableColumn id="1" name="入库单号"/>
    <tableColumn id="2" name="采购单号"/>
    <tableColumn id="3" name="款号"/>
    <tableColumn id="4" name="入库数量"/>
    <tableColumn id="5" name="仓库"/>
    <tableColumn id="6" name="入库日期"/>
    <tableColumn id="7" name="质检状态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销售订单Table" displayName="销售订单Table" ref="A3:N59" totalsRowShown="0">
  <tableColumns count="14">
    <tableColumn id="1" name="订单号"/>
    <tableColumn id="2" name="订单日期"/>
    <tableColumn id="3" name="客户编号"/>
    <tableColumn id="4" name="客户名称"/>
    <tableColumn id="5" name="款号"/>
    <tableColumn id="6" name="商品名称"/>
    <tableColumn id="7" name="销售数量"/>
    <tableColumn id="8" name="批发单价"/>
    <tableColumn id="9" name="折扣率"/>
    <tableColumn id="10" name="优惠金额"/>
    <tableColumn id="11" name="运费"/>
    <tableColumn id="12" name="实收金额"/>
    <tableColumn id="13" name="订单状态"/>
    <tableColumn id="14" name="销售渠道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客户档案Table" displayName="客户档案Table" ref="A3:E11" totalsRowShown="0">
  <tableColumns count="5">
    <tableColumn id="1" name="客户编号"/>
    <tableColumn id="2" name="客户名称"/>
    <tableColumn id="3" name="省份"/>
    <tableColumn id="4" name="客户类型"/>
    <tableColumn id="5" name="客户等级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退款售后Table" displayName="退款售后Table" ref="A3:I9" totalsRowShown="0">
  <tableColumns count="9">
    <tableColumn id="1" name="订单号"/>
    <tableColumn id="2" name="订单日期"/>
    <tableColumn id="3" name="客户编号"/>
    <tableColumn id="4" name="款号"/>
    <tableColumn id="5" name="退款数量"/>
    <tableColumn id="6" name="退款金额"/>
    <tableColumn id="7" name="退款原因"/>
    <tableColumn id="8" name="处理状态"/>
    <tableColumn id="9" name="申请日期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"/>
  <sheetViews>
    <sheetView showGridLines="0" workbookViewId="0">
      <selection activeCell="A1" sqref="A1:N1"/>
    </sheetView>
  </sheetViews>
  <sheetFormatPr defaultColWidth="9" defaultRowHeight="13.5"/>
  <cols>
    <col min="1" max="1" width="18" customWidth="1"/>
    <col min="2" max="2" width="16" customWidth="1"/>
    <col min="3" max="3" width="4" customWidth="1"/>
    <col min="4" max="4" width="18" customWidth="1"/>
    <col min="5" max="5" width="26" customWidth="1"/>
    <col min="6" max="8" width="14" customWidth="1"/>
    <col min="9" max="9" width="4" customWidth="1"/>
    <col min="10" max="10" width="18" customWidth="1"/>
    <col min="11" max="11" width="26" customWidth="1"/>
    <col min="12" max="14" width="14" customWidth="1"/>
  </cols>
  <sheetData>
    <row r="1" ht="30" customHeight="1" spans="1:11">
      <c r="A1" s="1" t="s">
        <v>0</v>
      </c>
    </row>
    <row r="3" ht="13.85" spans="1:11">
      <c r="A3" s="6" t="s">
        <v>1</v>
      </c>
      <c r="B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J3" s="7" t="s">
        <v>8</v>
      </c>
      <c r="K3" s="7" t="s">
        <v>9</v>
      </c>
    </row>
    <row r="4" ht="27" spans="1:11">
      <c r="A4" s="8" t="s">
        <v>10</v>
      </c>
      <c r="B4" s="9">
        <f>COUNTA(销售订单!A4:A59)</f>
        <v>56</v>
      </c>
      <c r="D4" s="3" t="str">
        <f>库存明细!A4</f>
        <v>FS-2401</v>
      </c>
      <c r="E4" s="3" t="str">
        <f>库存明细!B4</f>
        <v>复古水洗直筒牛仔裤</v>
      </c>
      <c r="F4" s="3">
        <f>库存明细!E4</f>
        <v>76</v>
      </c>
      <c r="G4" s="3">
        <f>库存明细!G4</f>
        <v>54</v>
      </c>
      <c r="H4" s="3" t="str">
        <f>库存明细!I4</f>
        <v>正常</v>
      </c>
      <c r="J4" s="10" t="s">
        <v>11</v>
      </c>
      <c r="K4" s="10" t="s">
        <v>12</v>
      </c>
    </row>
    <row r="5" ht="27" spans="1:11">
      <c r="A5" s="8" t="s">
        <v>13</v>
      </c>
      <c r="B5" s="9">
        <f>SUM(销售订单!L4:L59)</f>
        <v>35799.84</v>
      </c>
      <c r="D5" s="3" t="str">
        <f>库存明细!A5</f>
        <v>FS-2402</v>
      </c>
      <c r="E5" s="3" t="str">
        <f>库存明细!B5</f>
        <v>法式方领碎花连衣裙</v>
      </c>
      <c r="F5" s="3">
        <f>库存明细!E5</f>
        <v>39</v>
      </c>
      <c r="G5" s="3">
        <f>库存明细!G5</f>
        <v>103</v>
      </c>
      <c r="H5" s="3" t="str">
        <f>库存明细!I5</f>
        <v>正常</v>
      </c>
      <c r="J5" s="10" t="s">
        <v>14</v>
      </c>
      <c r="K5" s="10" t="s">
        <v>15</v>
      </c>
    </row>
    <row r="6" ht="27" spans="1:11">
      <c r="A6" s="8" t="s">
        <v>16</v>
      </c>
      <c r="B6" s="9">
        <f>SUM(销售订单!G4:G59)</f>
        <v>588</v>
      </c>
      <c r="D6" s="3" t="str">
        <f>库存明细!A6</f>
        <v>FS-2403</v>
      </c>
      <c r="E6" s="3" t="str">
        <f>库存明细!B6</f>
        <v>宽松纯棉印花T恤</v>
      </c>
      <c r="F6" s="3">
        <f>库存明细!E6</f>
        <v>34</v>
      </c>
      <c r="G6" s="3">
        <f>库存明细!G6</f>
        <v>120</v>
      </c>
      <c r="H6" s="3" t="str">
        <f>库存明细!I6</f>
        <v>正常</v>
      </c>
      <c r="J6" s="10" t="s">
        <v>17</v>
      </c>
      <c r="K6" s="10" t="s">
        <v>18</v>
      </c>
    </row>
    <row r="7" ht="13.85" spans="1:11">
      <c r="A7" s="8" t="s">
        <v>19</v>
      </c>
      <c r="B7" s="9">
        <f>SUM(退款售后!F4:F9)</f>
        <v>448</v>
      </c>
      <c r="D7" s="3" t="str">
        <f>库存明细!A7</f>
        <v>FS-2404</v>
      </c>
      <c r="E7" s="3" t="str">
        <f>库存明细!B7</f>
        <v>高腰阔腿西装裤</v>
      </c>
      <c r="F7" s="3">
        <f>库存明细!E7</f>
        <v>79</v>
      </c>
      <c r="G7" s="3">
        <f>库存明细!G7</f>
        <v>87</v>
      </c>
      <c r="H7" s="3" t="str">
        <f>库存明细!I7</f>
        <v>正常</v>
      </c>
    </row>
    <row r="8" ht="13.85" spans="1:11">
      <c r="A8" s="8" t="s">
        <v>20</v>
      </c>
      <c r="B8" s="9">
        <f>COUNTIF(库存明细!I4:I15,"需补货")</f>
        <v>0</v>
      </c>
      <c r="D8" s="3" t="str">
        <f>库存明细!A8</f>
        <v>FS-2405</v>
      </c>
      <c r="E8" s="3" t="str">
        <f>库存明细!B8</f>
        <v>冰丝针织开衫</v>
      </c>
      <c r="F8" s="3">
        <f>库存明细!E8</f>
        <v>28</v>
      </c>
      <c r="G8" s="3">
        <f>库存明细!G8</f>
        <v>150</v>
      </c>
      <c r="H8" s="3" t="str">
        <f>库存明细!I8</f>
        <v>正常</v>
      </c>
    </row>
    <row r="9" ht="13.85" spans="1:11">
      <c r="A9" s="8" t="s">
        <v>21</v>
      </c>
      <c r="B9" s="9">
        <f>SUM(采购明细!F4:F15)</f>
        <v>84188</v>
      </c>
      <c r="D9" s="3" t="str">
        <f>库存明细!A9</f>
        <v>FS-2406</v>
      </c>
      <c r="E9" s="3" t="str">
        <f>库存明细!B9</f>
        <v>港风短袖衬衫</v>
      </c>
      <c r="F9" s="3">
        <f>库存明细!E9</f>
        <v>38</v>
      </c>
      <c r="G9" s="3">
        <f>库存明细!G9</f>
        <v>152</v>
      </c>
      <c r="H9" s="3" t="str">
        <f>库存明细!I9</f>
        <v>正常</v>
      </c>
    </row>
    <row r="10" spans="1:11">
      <c r="D10" s="3" t="str">
        <f>库存明细!A10</f>
        <v>FS-2407</v>
      </c>
      <c r="E10" s="3" t="str">
        <f>库存明细!B10</f>
        <v>基础百搭背心</v>
      </c>
      <c r="F10" s="3">
        <f>库存明细!E10</f>
        <v>64</v>
      </c>
      <c r="G10" s="3">
        <f>库存明细!G10</f>
        <v>138</v>
      </c>
      <c r="H10" s="3" t="str">
        <f>库存明细!I10</f>
        <v>正常</v>
      </c>
    </row>
    <row r="11" spans="1:11">
      <c r="D11" s="3" t="str">
        <f>库存明细!A11</f>
        <v>FS-2408</v>
      </c>
      <c r="E11" s="3" t="str">
        <f>库存明细!B11</f>
        <v>运动速干短裤</v>
      </c>
      <c r="F11" s="3">
        <f>库存明细!E11</f>
        <v>38</v>
      </c>
      <c r="G11" s="3">
        <f>库存明细!G11</f>
        <v>176</v>
      </c>
      <c r="H11" s="3" t="str">
        <f>库存明细!I11</f>
        <v>正常</v>
      </c>
    </row>
    <row r="12" spans="1:11">
      <c r="D12" s="3" t="str">
        <f>库存明细!A12</f>
        <v>FS-2409</v>
      </c>
      <c r="E12" s="3" t="str">
        <f>库存明细!B12</f>
        <v>垂感醋酸半身裙</v>
      </c>
      <c r="F12" s="3">
        <f>库存明细!E12</f>
        <v>36</v>
      </c>
      <c r="G12" s="3">
        <f>库存明细!G12</f>
        <v>190</v>
      </c>
      <c r="H12" s="3" t="str">
        <f>库存明细!I12</f>
        <v>正常</v>
      </c>
    </row>
    <row r="13" spans="1:11">
      <c r="D13" s="3" t="str">
        <f>库存明细!A13</f>
        <v>FS-2410</v>
      </c>
      <c r="E13" s="3" t="str">
        <f>库存明细!B13</f>
        <v>轻薄防晒衬衣</v>
      </c>
      <c r="F13" s="3">
        <f>库存明细!E13</f>
        <v>75</v>
      </c>
      <c r="G13" s="3">
        <f>库存明细!G13</f>
        <v>163</v>
      </c>
      <c r="H13" s="3" t="str">
        <f>库存明细!I13</f>
        <v>正常</v>
      </c>
    </row>
    <row r="14" spans="1:11">
      <c r="D14" s="3" t="str">
        <f>库存明细!A14</f>
        <v>FS-2411</v>
      </c>
      <c r="E14" s="3" t="str">
        <f>库存明细!B14</f>
        <v>美式宽松卫衣</v>
      </c>
      <c r="F14" s="3">
        <f>库存明细!E14</f>
        <v>42</v>
      </c>
      <c r="G14" s="3">
        <f>库存明细!G14</f>
        <v>208</v>
      </c>
      <c r="H14" s="3" t="str">
        <f>库存明细!I14</f>
        <v>正常</v>
      </c>
    </row>
    <row r="15" spans="1:11">
      <c r="D15" s="3" t="str">
        <f>库存明细!A15</f>
        <v>FS-2412</v>
      </c>
      <c r="E15" s="3" t="str">
        <f>库存明细!B15</f>
        <v>格纹百褶短裙</v>
      </c>
      <c r="F15" s="3">
        <f>库存明细!E15</f>
        <v>39</v>
      </c>
      <c r="G15" s="3">
        <f>库存明细!G15</f>
        <v>223</v>
      </c>
      <c r="H15" s="3" t="str">
        <f>库存明细!I15</f>
        <v>正常</v>
      </c>
    </row>
  </sheetData>
  <mergeCells count="1">
    <mergeCell ref="A1:N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"/>
  <sheetViews>
    <sheetView showGridLines="0" workbookViewId="0">
      <selection activeCell="A1" sqref="A1:N1"/>
    </sheetView>
  </sheetViews>
  <sheetFormatPr defaultColWidth="9" defaultRowHeight="13.5"/>
  <cols>
    <col min="1" max="1" width="14" customWidth="1"/>
    <col min="2" max="2" width="25" customWidth="1"/>
    <col min="3" max="4" width="12" customWidth="1"/>
    <col min="5" max="5" width="13" customWidth="1"/>
    <col min="6" max="9" width="12" customWidth="1"/>
    <col min="10" max="10" width="13" customWidth="1"/>
  </cols>
  <sheetData>
    <row r="1" ht="30" customHeight="1" spans="1:10">
      <c r="A1" s="1" t="s">
        <v>22</v>
      </c>
    </row>
    <row r="3" ht="13.9" spans="1:10">
      <c r="A3" s="2" t="s">
        <v>3</v>
      </c>
      <c r="B3" s="2" t="s">
        <v>4</v>
      </c>
      <c r="C3" s="2" t="s">
        <v>23</v>
      </c>
      <c r="D3" s="2" t="s">
        <v>24</v>
      </c>
      <c r="E3" s="2" t="s">
        <v>5</v>
      </c>
      <c r="F3" s="2" t="s">
        <v>25</v>
      </c>
      <c r="G3" s="2" t="s">
        <v>6</v>
      </c>
      <c r="H3" s="2" t="s">
        <v>26</v>
      </c>
      <c r="I3" s="2" t="s">
        <v>7</v>
      </c>
      <c r="J3" s="2" t="s">
        <v>27</v>
      </c>
    </row>
    <row r="4" spans="1:10">
      <c r="A4" s="3" t="s">
        <v>28</v>
      </c>
      <c r="B4" s="3" t="s">
        <v>29</v>
      </c>
      <c r="C4" s="3" t="s">
        <v>30</v>
      </c>
      <c r="D4" s="3">
        <v>130</v>
      </c>
      <c r="E4" s="3">
        <v>76</v>
      </c>
      <c r="F4" s="3">
        <v>0</v>
      </c>
      <c r="G4" s="3">
        <v>54</v>
      </c>
      <c r="H4" s="3">
        <v>20</v>
      </c>
      <c r="I4" s="3" t="s">
        <v>31</v>
      </c>
      <c r="J4" s="4">
        <v>46231</v>
      </c>
    </row>
    <row r="5" spans="1:10">
      <c r="A5" s="3" t="s">
        <v>32</v>
      </c>
      <c r="B5" s="3" t="s">
        <v>33</v>
      </c>
      <c r="C5" s="3" t="s">
        <v>30</v>
      </c>
      <c r="D5" s="3">
        <v>142</v>
      </c>
      <c r="E5" s="3">
        <v>39</v>
      </c>
      <c r="F5" s="3">
        <v>0</v>
      </c>
      <c r="G5" s="3">
        <v>103</v>
      </c>
      <c r="H5" s="3">
        <v>18</v>
      </c>
      <c r="I5" s="3" t="s">
        <v>31</v>
      </c>
      <c r="J5" s="4">
        <v>46231</v>
      </c>
    </row>
    <row r="6" spans="1:10">
      <c r="A6" s="3" t="s">
        <v>34</v>
      </c>
      <c r="B6" s="3" t="s">
        <v>35</v>
      </c>
      <c r="C6" s="3" t="s">
        <v>30</v>
      </c>
      <c r="D6" s="3">
        <v>154</v>
      </c>
      <c r="E6" s="3">
        <v>34</v>
      </c>
      <c r="F6" s="3">
        <v>0</v>
      </c>
      <c r="G6" s="3">
        <v>120</v>
      </c>
      <c r="H6" s="3">
        <v>35</v>
      </c>
      <c r="I6" s="3" t="s">
        <v>31</v>
      </c>
      <c r="J6" s="4">
        <v>46231</v>
      </c>
    </row>
    <row r="7" spans="1:10">
      <c r="A7" s="3" t="s">
        <v>36</v>
      </c>
      <c r="B7" s="3" t="s">
        <v>37</v>
      </c>
      <c r="C7" s="3" t="s">
        <v>30</v>
      </c>
      <c r="D7" s="3">
        <v>166</v>
      </c>
      <c r="E7" s="3">
        <v>79</v>
      </c>
      <c r="F7" s="3">
        <v>0</v>
      </c>
      <c r="G7" s="3">
        <v>87</v>
      </c>
      <c r="H7" s="3">
        <v>20</v>
      </c>
      <c r="I7" s="3" t="s">
        <v>31</v>
      </c>
      <c r="J7" s="4">
        <v>46231</v>
      </c>
    </row>
    <row r="8" spans="1:10">
      <c r="A8" s="3" t="s">
        <v>38</v>
      </c>
      <c r="B8" s="3" t="s">
        <v>39</v>
      </c>
      <c r="C8" s="3" t="s">
        <v>30</v>
      </c>
      <c r="D8" s="3">
        <v>178</v>
      </c>
      <c r="E8" s="3">
        <v>28</v>
      </c>
      <c r="F8" s="3">
        <v>0</v>
      </c>
      <c r="G8" s="3">
        <v>150</v>
      </c>
      <c r="H8" s="3">
        <v>25</v>
      </c>
      <c r="I8" s="3" t="s">
        <v>31</v>
      </c>
      <c r="J8" s="4">
        <v>46231</v>
      </c>
    </row>
    <row r="9" spans="1:10">
      <c r="A9" s="3" t="s">
        <v>40</v>
      </c>
      <c r="B9" s="3" t="s">
        <v>41</v>
      </c>
      <c r="C9" s="3" t="s">
        <v>30</v>
      </c>
      <c r="D9" s="3">
        <v>190</v>
      </c>
      <c r="E9" s="3">
        <v>38</v>
      </c>
      <c r="F9" s="3">
        <v>0</v>
      </c>
      <c r="G9" s="3">
        <v>152</v>
      </c>
      <c r="H9" s="3">
        <v>22</v>
      </c>
      <c r="I9" s="3" t="s">
        <v>31</v>
      </c>
      <c r="J9" s="4">
        <v>46231</v>
      </c>
    </row>
    <row r="10" spans="1:10">
      <c r="A10" s="3" t="s">
        <v>42</v>
      </c>
      <c r="B10" s="3" t="s">
        <v>43</v>
      </c>
      <c r="C10" s="3" t="s">
        <v>30</v>
      </c>
      <c r="D10" s="3">
        <v>202</v>
      </c>
      <c r="E10" s="3">
        <v>64</v>
      </c>
      <c r="F10" s="3">
        <v>0</v>
      </c>
      <c r="G10" s="3">
        <v>138</v>
      </c>
      <c r="H10" s="3">
        <v>40</v>
      </c>
      <c r="I10" s="3" t="s">
        <v>31</v>
      </c>
      <c r="J10" s="4">
        <v>46231</v>
      </c>
    </row>
    <row r="11" spans="1:10">
      <c r="A11" s="3" t="s">
        <v>44</v>
      </c>
      <c r="B11" s="3" t="s">
        <v>45</v>
      </c>
      <c r="C11" s="3" t="s">
        <v>30</v>
      </c>
      <c r="D11" s="3">
        <v>214</v>
      </c>
      <c r="E11" s="3">
        <v>38</v>
      </c>
      <c r="F11" s="3">
        <v>0</v>
      </c>
      <c r="G11" s="3">
        <v>176</v>
      </c>
      <c r="H11" s="3">
        <v>28</v>
      </c>
      <c r="I11" s="3" t="s">
        <v>31</v>
      </c>
      <c r="J11" s="4">
        <v>46231</v>
      </c>
    </row>
    <row r="12" spans="1:10">
      <c r="A12" s="3" t="s">
        <v>46</v>
      </c>
      <c r="B12" s="3" t="s">
        <v>47</v>
      </c>
      <c r="C12" s="3" t="s">
        <v>30</v>
      </c>
      <c r="D12" s="3">
        <v>226</v>
      </c>
      <c r="E12" s="3">
        <v>36</v>
      </c>
      <c r="F12" s="3">
        <v>0</v>
      </c>
      <c r="G12" s="3">
        <v>190</v>
      </c>
      <c r="H12" s="3">
        <v>18</v>
      </c>
      <c r="I12" s="3" t="s">
        <v>31</v>
      </c>
      <c r="J12" s="4">
        <v>46231</v>
      </c>
    </row>
    <row r="13" spans="1:10">
      <c r="A13" s="3" t="s">
        <v>48</v>
      </c>
      <c r="B13" s="3" t="s">
        <v>49</v>
      </c>
      <c r="C13" s="3" t="s">
        <v>30</v>
      </c>
      <c r="D13" s="3">
        <v>238</v>
      </c>
      <c r="E13" s="3">
        <v>75</v>
      </c>
      <c r="F13" s="3">
        <v>0</v>
      </c>
      <c r="G13" s="3">
        <v>163</v>
      </c>
      <c r="H13" s="3">
        <v>24</v>
      </c>
      <c r="I13" s="3" t="s">
        <v>31</v>
      </c>
      <c r="J13" s="4">
        <v>46231</v>
      </c>
    </row>
    <row r="14" spans="1:10">
      <c r="A14" s="3" t="s">
        <v>50</v>
      </c>
      <c r="B14" s="3" t="s">
        <v>51</v>
      </c>
      <c r="C14" s="3" t="s">
        <v>30</v>
      </c>
      <c r="D14" s="3">
        <v>250</v>
      </c>
      <c r="E14" s="3">
        <v>42</v>
      </c>
      <c r="F14" s="3">
        <v>0</v>
      </c>
      <c r="G14" s="3">
        <v>208</v>
      </c>
      <c r="H14" s="3">
        <v>30</v>
      </c>
      <c r="I14" s="3" t="s">
        <v>31</v>
      </c>
      <c r="J14" s="4">
        <v>46231</v>
      </c>
    </row>
    <row r="15" spans="1:10">
      <c r="A15" s="3" t="s">
        <v>52</v>
      </c>
      <c r="B15" s="3" t="s">
        <v>53</v>
      </c>
      <c r="C15" s="3" t="s">
        <v>30</v>
      </c>
      <c r="D15" s="3">
        <v>262</v>
      </c>
      <c r="E15" s="3">
        <v>39</v>
      </c>
      <c r="F15" s="3">
        <v>0</v>
      </c>
      <c r="G15" s="3">
        <v>223</v>
      </c>
      <c r="H15" s="3">
        <v>16</v>
      </c>
      <c r="I15" s="3" t="s">
        <v>31</v>
      </c>
      <c r="J15" s="4">
        <v>46231</v>
      </c>
    </row>
  </sheetData>
  <mergeCells count="1">
    <mergeCell ref="A1:N1"/>
  </mergeCells>
  <conditionalFormatting sqref="I4:I15">
    <cfRule type="containsText" dxfId="0" priority="1" operator="between" text="需补货">
      <formula>NOT(ISERROR(SEARCH("需补货",I4)))</formula>
    </cfRule>
  </conditionalFormatting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"/>
  <sheetViews>
    <sheetView showGridLines="0" workbookViewId="0">
      <selection activeCell="A1" sqref="A1:N1"/>
    </sheetView>
  </sheetViews>
  <sheetFormatPr defaultColWidth="9" defaultRowHeight="13.5"/>
  <cols>
    <col min="1" max="1" width="14" customWidth="1"/>
    <col min="2" max="2" width="26" customWidth="1"/>
    <col min="3" max="3" width="12" customWidth="1"/>
    <col min="4" max="4" width="20" customWidth="1"/>
    <col min="5" max="6" width="14" customWidth="1"/>
    <col min="7" max="7" width="12" customWidth="1"/>
  </cols>
  <sheetData>
    <row r="1" ht="30" customHeight="1" spans="1:7">
      <c r="A1" s="1" t="s">
        <v>54</v>
      </c>
    </row>
    <row r="3" spans="1:7">
      <c r="A3" s="2" t="s">
        <v>3</v>
      </c>
      <c r="B3" s="2" t="s">
        <v>4</v>
      </c>
      <c r="C3" s="2" t="s">
        <v>55</v>
      </c>
      <c r="D3" s="2" t="s">
        <v>56</v>
      </c>
      <c r="E3" s="2" t="s">
        <v>57</v>
      </c>
      <c r="F3" s="2" t="s">
        <v>58</v>
      </c>
      <c r="G3" s="2" t="s">
        <v>59</v>
      </c>
    </row>
    <row r="4" spans="1:7">
      <c r="A4" s="3" t="s">
        <v>28</v>
      </c>
      <c r="B4" s="3" t="s">
        <v>29</v>
      </c>
      <c r="C4" s="3" t="s">
        <v>60</v>
      </c>
      <c r="D4" s="3" t="s">
        <v>61</v>
      </c>
      <c r="E4" s="5">
        <v>45</v>
      </c>
      <c r="F4" s="5">
        <v>89</v>
      </c>
      <c r="G4" s="3" t="s">
        <v>62</v>
      </c>
    </row>
    <row r="5" spans="1:7">
      <c r="A5" s="3" t="s">
        <v>32</v>
      </c>
      <c r="B5" s="3" t="s">
        <v>33</v>
      </c>
      <c r="C5" s="3" t="s">
        <v>60</v>
      </c>
      <c r="D5" s="3" t="s">
        <v>63</v>
      </c>
      <c r="E5" s="5">
        <v>38</v>
      </c>
      <c r="F5" s="5">
        <v>76</v>
      </c>
      <c r="G5" s="3" t="s">
        <v>62</v>
      </c>
    </row>
    <row r="6" spans="1:7">
      <c r="A6" s="3" t="s">
        <v>34</v>
      </c>
      <c r="B6" s="3" t="s">
        <v>35</v>
      </c>
      <c r="C6" s="3" t="s">
        <v>60</v>
      </c>
      <c r="D6" s="3" t="s">
        <v>64</v>
      </c>
      <c r="E6" s="5">
        <v>22</v>
      </c>
      <c r="F6" s="5">
        <v>45</v>
      </c>
      <c r="G6" s="3" t="s">
        <v>65</v>
      </c>
    </row>
    <row r="7" spans="1:7">
      <c r="A7" s="3" t="s">
        <v>36</v>
      </c>
      <c r="B7" s="3" t="s">
        <v>37</v>
      </c>
      <c r="C7" s="3" t="s">
        <v>60</v>
      </c>
      <c r="D7" s="3" t="s">
        <v>61</v>
      </c>
      <c r="E7" s="5">
        <v>42</v>
      </c>
      <c r="F7" s="5">
        <v>78</v>
      </c>
      <c r="G7" s="3" t="s">
        <v>62</v>
      </c>
    </row>
    <row r="8" spans="1:7">
      <c r="A8" s="3" t="s">
        <v>38</v>
      </c>
      <c r="B8" s="3" t="s">
        <v>39</v>
      </c>
      <c r="C8" s="3" t="s">
        <v>60</v>
      </c>
      <c r="D8" s="3" t="s">
        <v>63</v>
      </c>
      <c r="E8" s="5">
        <v>35</v>
      </c>
      <c r="F8" s="5">
        <v>69</v>
      </c>
      <c r="G8" s="3" t="s">
        <v>65</v>
      </c>
    </row>
    <row r="9" spans="1:7">
      <c r="A9" s="3" t="s">
        <v>40</v>
      </c>
      <c r="B9" s="3" t="s">
        <v>41</v>
      </c>
      <c r="C9" s="3" t="s">
        <v>66</v>
      </c>
      <c r="D9" s="3" t="s">
        <v>67</v>
      </c>
      <c r="E9" s="5">
        <v>39</v>
      </c>
      <c r="F9" s="5">
        <v>72</v>
      </c>
      <c r="G9" s="3" t="s">
        <v>62</v>
      </c>
    </row>
    <row r="10" spans="1:7">
      <c r="A10" s="3" t="s">
        <v>42</v>
      </c>
      <c r="B10" s="3" t="s">
        <v>43</v>
      </c>
      <c r="C10" s="3" t="s">
        <v>60</v>
      </c>
      <c r="D10" s="3" t="s">
        <v>64</v>
      </c>
      <c r="E10" s="5">
        <v>16</v>
      </c>
      <c r="F10" s="5">
        <v>35</v>
      </c>
      <c r="G10" s="3" t="s">
        <v>68</v>
      </c>
    </row>
    <row r="11" spans="1:7">
      <c r="A11" s="3" t="s">
        <v>44</v>
      </c>
      <c r="B11" s="3" t="s">
        <v>45</v>
      </c>
      <c r="C11" s="3" t="s">
        <v>66</v>
      </c>
      <c r="D11" s="3" t="s">
        <v>67</v>
      </c>
      <c r="E11" s="5">
        <v>28</v>
      </c>
      <c r="F11" s="5">
        <v>59</v>
      </c>
      <c r="G11" s="3" t="s">
        <v>65</v>
      </c>
    </row>
    <row r="12" spans="1:7">
      <c r="A12" s="3" t="s">
        <v>46</v>
      </c>
      <c r="B12" s="3" t="s">
        <v>47</v>
      </c>
      <c r="C12" s="3" t="s">
        <v>60</v>
      </c>
      <c r="D12" s="3" t="s">
        <v>63</v>
      </c>
      <c r="E12" s="5">
        <v>45</v>
      </c>
      <c r="F12" s="5">
        <v>85</v>
      </c>
      <c r="G12" s="3" t="s">
        <v>65</v>
      </c>
    </row>
    <row r="13" spans="1:7">
      <c r="A13" s="3" t="s">
        <v>48</v>
      </c>
      <c r="B13" s="3" t="s">
        <v>49</v>
      </c>
      <c r="C13" s="3" t="s">
        <v>60</v>
      </c>
      <c r="D13" s="3" t="s">
        <v>61</v>
      </c>
      <c r="E13" s="5">
        <v>32</v>
      </c>
      <c r="F13" s="5">
        <v>65</v>
      </c>
      <c r="G13" s="3" t="s">
        <v>62</v>
      </c>
    </row>
    <row r="14" spans="1:7">
      <c r="A14" s="3" t="s">
        <v>50</v>
      </c>
      <c r="B14" s="3" t="s">
        <v>51</v>
      </c>
      <c r="C14" s="3" t="s">
        <v>69</v>
      </c>
      <c r="D14" s="3" t="s">
        <v>64</v>
      </c>
      <c r="E14" s="5">
        <v>50</v>
      </c>
      <c r="F14" s="5">
        <v>92</v>
      </c>
      <c r="G14" s="3" t="s">
        <v>70</v>
      </c>
    </row>
    <row r="15" spans="1:7">
      <c r="A15" s="3" t="s">
        <v>52</v>
      </c>
      <c r="B15" s="3" t="s">
        <v>53</v>
      </c>
      <c r="C15" s="3" t="s">
        <v>60</v>
      </c>
      <c r="D15" s="3" t="s">
        <v>63</v>
      </c>
      <c r="E15" s="5">
        <v>36</v>
      </c>
      <c r="F15" s="5">
        <v>70</v>
      </c>
      <c r="G15" s="3" t="s">
        <v>70</v>
      </c>
    </row>
  </sheetData>
  <mergeCells count="1">
    <mergeCell ref="A1:N1"/>
  </mergeCells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"/>
  <sheetViews>
    <sheetView showGridLines="0" tabSelected="1" workbookViewId="0">
      <selection activeCell="H18" sqref="H18"/>
    </sheetView>
  </sheetViews>
  <sheetFormatPr defaultColWidth="9" defaultRowHeight="13.5"/>
  <cols>
    <col min="1" max="1" width="18" customWidth="1"/>
    <col min="2" max="2" width="14" customWidth="1"/>
    <col min="3" max="3" width="20" customWidth="1"/>
    <col min="4" max="5" width="12" customWidth="1"/>
    <col min="6" max="6" width="14" customWidth="1"/>
    <col min="7" max="8" width="13" customWidth="1"/>
    <col min="9" max="9" width="12" customWidth="1"/>
  </cols>
  <sheetData>
    <row r="1" ht="30" customHeight="1" spans="1:9">
      <c r="A1" s="1" t="s">
        <v>71</v>
      </c>
    </row>
    <row r="3" spans="1:9">
      <c r="A3" s="2" t="s">
        <v>72</v>
      </c>
      <c r="B3" s="2" t="s">
        <v>3</v>
      </c>
      <c r="C3" s="2" t="s">
        <v>56</v>
      </c>
      <c r="D3" s="2" t="s">
        <v>73</v>
      </c>
      <c r="E3" s="2" t="s">
        <v>74</v>
      </c>
      <c r="F3" s="2" t="s">
        <v>75</v>
      </c>
      <c r="G3" s="2" t="s">
        <v>76</v>
      </c>
      <c r="H3" s="2" t="s">
        <v>77</v>
      </c>
      <c r="I3" s="2" t="s">
        <v>78</v>
      </c>
    </row>
    <row r="4" spans="1:9">
      <c r="A4" s="3" t="s">
        <v>79</v>
      </c>
      <c r="B4" s="3" t="s">
        <v>28</v>
      </c>
      <c r="C4" s="3" t="s">
        <v>61</v>
      </c>
      <c r="D4" s="3">
        <v>130</v>
      </c>
      <c r="E4" s="5">
        <v>45</v>
      </c>
      <c r="F4" s="5">
        <v>5850</v>
      </c>
      <c r="G4" s="4">
        <v>46205</v>
      </c>
      <c r="H4" s="3" t="s">
        <v>80</v>
      </c>
      <c r="I4" s="3" t="s">
        <v>30</v>
      </c>
    </row>
    <row r="5" spans="1:9">
      <c r="A5" s="3" t="s">
        <v>81</v>
      </c>
      <c r="B5" s="3" t="s">
        <v>32</v>
      </c>
      <c r="C5" s="3" t="s">
        <v>63</v>
      </c>
      <c r="D5" s="3">
        <v>142</v>
      </c>
      <c r="E5" s="5">
        <v>38</v>
      </c>
      <c r="F5" s="5">
        <v>5396</v>
      </c>
      <c r="G5" s="4">
        <v>46206</v>
      </c>
      <c r="H5" s="3" t="s">
        <v>80</v>
      </c>
      <c r="I5" s="3" t="s">
        <v>30</v>
      </c>
    </row>
    <row r="6" spans="1:9">
      <c r="A6" s="3" t="s">
        <v>82</v>
      </c>
      <c r="B6" s="3" t="s">
        <v>34</v>
      </c>
      <c r="C6" s="3" t="s">
        <v>64</v>
      </c>
      <c r="D6" s="3">
        <v>154</v>
      </c>
      <c r="E6" s="5">
        <v>22</v>
      </c>
      <c r="F6" s="5">
        <v>3388</v>
      </c>
      <c r="G6" s="4">
        <v>46207</v>
      </c>
      <c r="H6" s="3" t="s">
        <v>80</v>
      </c>
      <c r="I6" s="3" t="s">
        <v>30</v>
      </c>
    </row>
    <row r="7" spans="1:9">
      <c r="A7" s="3" t="s">
        <v>83</v>
      </c>
      <c r="B7" s="3" t="s">
        <v>36</v>
      </c>
      <c r="C7" s="3" t="s">
        <v>61</v>
      </c>
      <c r="D7" s="3">
        <v>166</v>
      </c>
      <c r="E7" s="5">
        <v>42</v>
      </c>
      <c r="F7" s="5">
        <v>6972</v>
      </c>
      <c r="G7" s="4">
        <v>46208</v>
      </c>
      <c r="H7" s="3" t="s">
        <v>80</v>
      </c>
      <c r="I7" s="3" t="s">
        <v>30</v>
      </c>
    </row>
    <row r="8" spans="1:9">
      <c r="A8" s="3" t="s">
        <v>84</v>
      </c>
      <c r="B8" s="3" t="s">
        <v>38</v>
      </c>
      <c r="C8" s="3" t="s">
        <v>63</v>
      </c>
      <c r="D8" s="3">
        <v>178</v>
      </c>
      <c r="E8" s="5">
        <v>35</v>
      </c>
      <c r="F8" s="5">
        <v>6230</v>
      </c>
      <c r="G8" s="4">
        <v>46209</v>
      </c>
      <c r="H8" s="3" t="s">
        <v>80</v>
      </c>
      <c r="I8" s="3" t="s">
        <v>30</v>
      </c>
    </row>
    <row r="9" spans="1:9">
      <c r="A9" s="3" t="s">
        <v>85</v>
      </c>
      <c r="B9" s="3" t="s">
        <v>40</v>
      </c>
      <c r="C9" s="3" t="s">
        <v>67</v>
      </c>
      <c r="D9" s="3">
        <v>190</v>
      </c>
      <c r="E9" s="5">
        <v>39</v>
      </c>
      <c r="F9" s="5">
        <v>7410</v>
      </c>
      <c r="G9" s="4">
        <v>46210</v>
      </c>
      <c r="H9" s="3" t="s">
        <v>80</v>
      </c>
      <c r="I9" s="3" t="s">
        <v>30</v>
      </c>
    </row>
    <row r="10" spans="1:9">
      <c r="A10" s="3" t="s">
        <v>86</v>
      </c>
      <c r="B10" s="3" t="s">
        <v>42</v>
      </c>
      <c r="C10" s="3" t="s">
        <v>64</v>
      </c>
      <c r="D10" s="3">
        <v>202</v>
      </c>
      <c r="E10" s="5">
        <v>16</v>
      </c>
      <c r="F10" s="5">
        <v>3232</v>
      </c>
      <c r="G10" s="4">
        <v>46211</v>
      </c>
      <c r="H10" s="3" t="s">
        <v>80</v>
      </c>
      <c r="I10" s="3" t="s">
        <v>30</v>
      </c>
    </row>
    <row r="11" spans="1:9">
      <c r="A11" s="3" t="s">
        <v>87</v>
      </c>
      <c r="B11" s="3" t="s">
        <v>44</v>
      </c>
      <c r="C11" s="3" t="s">
        <v>67</v>
      </c>
      <c r="D11" s="3">
        <v>214</v>
      </c>
      <c r="E11" s="5">
        <v>28</v>
      </c>
      <c r="F11" s="5">
        <v>5992</v>
      </c>
      <c r="G11" s="4">
        <v>46212</v>
      </c>
      <c r="H11" s="3" t="s">
        <v>80</v>
      </c>
      <c r="I11" s="3" t="s">
        <v>30</v>
      </c>
    </row>
    <row r="12" spans="1:9">
      <c r="A12" s="3" t="s">
        <v>88</v>
      </c>
      <c r="B12" s="3" t="s">
        <v>46</v>
      </c>
      <c r="C12" s="3" t="s">
        <v>63</v>
      </c>
      <c r="D12" s="3">
        <v>226</v>
      </c>
      <c r="E12" s="5">
        <v>45</v>
      </c>
      <c r="F12" s="5">
        <v>10170</v>
      </c>
      <c r="G12" s="4">
        <v>46213</v>
      </c>
      <c r="H12" s="3" t="s">
        <v>80</v>
      </c>
      <c r="I12" s="3" t="s">
        <v>30</v>
      </c>
    </row>
    <row r="13" spans="1:9">
      <c r="A13" s="3" t="s">
        <v>89</v>
      </c>
      <c r="B13" s="3" t="s">
        <v>48</v>
      </c>
      <c r="C13" s="3" t="s">
        <v>61</v>
      </c>
      <c r="D13" s="3">
        <v>238</v>
      </c>
      <c r="E13" s="5">
        <v>32</v>
      </c>
      <c r="F13" s="5">
        <v>7616</v>
      </c>
      <c r="G13" s="4">
        <v>46214</v>
      </c>
      <c r="H13" s="3" t="s">
        <v>80</v>
      </c>
      <c r="I13" s="3" t="s">
        <v>30</v>
      </c>
    </row>
    <row r="14" spans="1:9">
      <c r="A14" s="3" t="s">
        <v>90</v>
      </c>
      <c r="B14" s="3" t="s">
        <v>50</v>
      </c>
      <c r="C14" s="3" t="s">
        <v>64</v>
      </c>
      <c r="D14" s="3">
        <v>250</v>
      </c>
      <c r="E14" s="5">
        <v>50</v>
      </c>
      <c r="F14" s="5">
        <v>12500</v>
      </c>
      <c r="G14" s="4">
        <v>46215</v>
      </c>
      <c r="H14" s="3" t="s">
        <v>80</v>
      </c>
      <c r="I14" s="3" t="s">
        <v>30</v>
      </c>
    </row>
    <row r="15" spans="1:9">
      <c r="A15" s="3" t="s">
        <v>91</v>
      </c>
      <c r="B15" s="3" t="s">
        <v>52</v>
      </c>
      <c r="C15" s="3" t="s">
        <v>63</v>
      </c>
      <c r="D15" s="3">
        <v>262</v>
      </c>
      <c r="E15" s="5">
        <v>36</v>
      </c>
      <c r="F15" s="5">
        <v>9432</v>
      </c>
      <c r="G15" s="4">
        <v>46216</v>
      </c>
      <c r="H15" s="3" t="s">
        <v>80</v>
      </c>
      <c r="I15" s="3" t="s">
        <v>30</v>
      </c>
    </row>
  </sheetData>
  <mergeCells count="1">
    <mergeCell ref="A1:N1"/>
  </mergeCells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"/>
  <sheetViews>
    <sheetView showGridLines="0" workbookViewId="0">
      <selection activeCell="A1" sqref="A1:N1"/>
    </sheetView>
  </sheetViews>
  <sheetFormatPr defaultColWidth="9" defaultRowHeight="13.5"/>
  <cols>
    <col min="1" max="2" width="18" customWidth="1"/>
    <col min="3" max="3" width="14" customWidth="1"/>
    <col min="4" max="5" width="12" customWidth="1"/>
    <col min="6" max="7" width="13" customWidth="1"/>
  </cols>
  <sheetData>
    <row r="1" ht="30" customHeight="1" spans="1:7">
      <c r="A1" s="1" t="s">
        <v>92</v>
      </c>
    </row>
    <row r="3" spans="1:7">
      <c r="A3" s="2" t="s">
        <v>93</v>
      </c>
      <c r="B3" s="2" t="s">
        <v>72</v>
      </c>
      <c r="C3" s="2" t="s">
        <v>3</v>
      </c>
      <c r="D3" s="2" t="s">
        <v>94</v>
      </c>
      <c r="E3" s="2" t="s">
        <v>23</v>
      </c>
      <c r="F3" s="2" t="s">
        <v>95</v>
      </c>
      <c r="G3" s="2" t="s">
        <v>96</v>
      </c>
    </row>
    <row r="4" spans="1:7">
      <c r="A4" s="3" t="s">
        <v>97</v>
      </c>
      <c r="B4" s="3" t="s">
        <v>79</v>
      </c>
      <c r="C4" s="3" t="s">
        <v>28</v>
      </c>
      <c r="D4" s="3">
        <v>130</v>
      </c>
      <c r="E4" s="3" t="s">
        <v>30</v>
      </c>
      <c r="F4" s="4">
        <v>46206</v>
      </c>
      <c r="G4" s="3" t="s">
        <v>98</v>
      </c>
    </row>
    <row r="5" spans="1:7">
      <c r="A5" s="3" t="s">
        <v>99</v>
      </c>
      <c r="B5" s="3" t="s">
        <v>81</v>
      </c>
      <c r="C5" s="3" t="s">
        <v>32</v>
      </c>
      <c r="D5" s="3">
        <v>142</v>
      </c>
      <c r="E5" s="3" t="s">
        <v>30</v>
      </c>
      <c r="F5" s="4">
        <v>46207</v>
      </c>
      <c r="G5" s="3" t="s">
        <v>98</v>
      </c>
    </row>
    <row r="6" spans="1:7">
      <c r="A6" s="3" t="s">
        <v>100</v>
      </c>
      <c r="B6" s="3" t="s">
        <v>82</v>
      </c>
      <c r="C6" s="3" t="s">
        <v>34</v>
      </c>
      <c r="D6" s="3">
        <v>154</v>
      </c>
      <c r="E6" s="3" t="s">
        <v>30</v>
      </c>
      <c r="F6" s="4">
        <v>46208</v>
      </c>
      <c r="G6" s="3" t="s">
        <v>98</v>
      </c>
    </row>
    <row r="7" spans="1:7">
      <c r="A7" s="3" t="s">
        <v>101</v>
      </c>
      <c r="B7" s="3" t="s">
        <v>83</v>
      </c>
      <c r="C7" s="3" t="s">
        <v>36</v>
      </c>
      <c r="D7" s="3">
        <v>166</v>
      </c>
      <c r="E7" s="3" t="s">
        <v>30</v>
      </c>
      <c r="F7" s="4">
        <v>46209</v>
      </c>
      <c r="G7" s="3" t="s">
        <v>98</v>
      </c>
    </row>
    <row r="8" spans="1:7">
      <c r="A8" s="3" t="s">
        <v>102</v>
      </c>
      <c r="B8" s="3" t="s">
        <v>84</v>
      </c>
      <c r="C8" s="3" t="s">
        <v>38</v>
      </c>
      <c r="D8" s="3">
        <v>178</v>
      </c>
      <c r="E8" s="3" t="s">
        <v>30</v>
      </c>
      <c r="F8" s="4">
        <v>46210</v>
      </c>
      <c r="G8" s="3" t="s">
        <v>98</v>
      </c>
    </row>
    <row r="9" spans="1:7">
      <c r="A9" s="3" t="s">
        <v>103</v>
      </c>
      <c r="B9" s="3" t="s">
        <v>85</v>
      </c>
      <c r="C9" s="3" t="s">
        <v>40</v>
      </c>
      <c r="D9" s="3">
        <v>190</v>
      </c>
      <c r="E9" s="3" t="s">
        <v>30</v>
      </c>
      <c r="F9" s="4">
        <v>46211</v>
      </c>
      <c r="G9" s="3" t="s">
        <v>98</v>
      </c>
    </row>
    <row r="10" spans="1:7">
      <c r="A10" s="3" t="s">
        <v>104</v>
      </c>
      <c r="B10" s="3" t="s">
        <v>86</v>
      </c>
      <c r="C10" s="3" t="s">
        <v>42</v>
      </c>
      <c r="D10" s="3">
        <v>202</v>
      </c>
      <c r="E10" s="3" t="s">
        <v>30</v>
      </c>
      <c r="F10" s="4">
        <v>46212</v>
      </c>
      <c r="G10" s="3" t="s">
        <v>98</v>
      </c>
    </row>
    <row r="11" spans="1:7">
      <c r="A11" s="3" t="s">
        <v>105</v>
      </c>
      <c r="B11" s="3" t="s">
        <v>87</v>
      </c>
      <c r="C11" s="3" t="s">
        <v>44</v>
      </c>
      <c r="D11" s="3">
        <v>214</v>
      </c>
      <c r="E11" s="3" t="s">
        <v>30</v>
      </c>
      <c r="F11" s="4">
        <v>46213</v>
      </c>
      <c r="G11" s="3" t="s">
        <v>98</v>
      </c>
    </row>
    <row r="12" spans="1:7">
      <c r="A12" s="3" t="s">
        <v>106</v>
      </c>
      <c r="B12" s="3" t="s">
        <v>88</v>
      </c>
      <c r="C12" s="3" t="s">
        <v>46</v>
      </c>
      <c r="D12" s="3">
        <v>226</v>
      </c>
      <c r="E12" s="3" t="s">
        <v>30</v>
      </c>
      <c r="F12" s="4">
        <v>46214</v>
      </c>
      <c r="G12" s="3" t="s">
        <v>98</v>
      </c>
    </row>
    <row r="13" spans="1:7">
      <c r="A13" s="3" t="s">
        <v>107</v>
      </c>
      <c r="B13" s="3" t="s">
        <v>89</v>
      </c>
      <c r="C13" s="3" t="s">
        <v>48</v>
      </c>
      <c r="D13" s="3">
        <v>238</v>
      </c>
      <c r="E13" s="3" t="s">
        <v>30</v>
      </c>
      <c r="F13" s="4">
        <v>46215</v>
      </c>
      <c r="G13" s="3" t="s">
        <v>98</v>
      </c>
    </row>
    <row r="14" spans="1:7">
      <c r="A14" s="3" t="s">
        <v>108</v>
      </c>
      <c r="B14" s="3" t="s">
        <v>90</v>
      </c>
      <c r="C14" s="3" t="s">
        <v>50</v>
      </c>
      <c r="D14" s="3">
        <v>250</v>
      </c>
      <c r="E14" s="3" t="s">
        <v>30</v>
      </c>
      <c r="F14" s="4">
        <v>46216</v>
      </c>
      <c r="G14" s="3" t="s">
        <v>98</v>
      </c>
    </row>
    <row r="15" spans="1:7">
      <c r="A15" s="3" t="s">
        <v>109</v>
      </c>
      <c r="B15" s="3" t="s">
        <v>91</v>
      </c>
      <c r="C15" s="3" t="s">
        <v>52</v>
      </c>
      <c r="D15" s="3">
        <v>262</v>
      </c>
      <c r="E15" s="3" t="s">
        <v>30</v>
      </c>
      <c r="F15" s="4">
        <v>46217</v>
      </c>
      <c r="G15" s="3" t="s">
        <v>98</v>
      </c>
    </row>
  </sheetData>
  <mergeCells count="1">
    <mergeCell ref="A1:N1"/>
  </mergeCells>
  <pageMargins left="0.7" right="0.7" top="0.75" bottom="0.75" header="0.3" footer="0.3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9"/>
  <sheetViews>
    <sheetView showGridLines="0" topLeftCell="A24" workbookViewId="0">
      <selection activeCell="A1" sqref="A1:N1"/>
    </sheetView>
  </sheetViews>
  <sheetFormatPr defaultColWidth="9" defaultRowHeight="13.5"/>
  <cols>
    <col min="1" max="1" width="19" customWidth="1"/>
    <col min="2" max="2" width="13" customWidth="1"/>
    <col min="3" max="3" width="14" customWidth="1"/>
    <col min="4" max="4" width="22" customWidth="1"/>
    <col min="5" max="5" width="14" customWidth="1"/>
    <col min="6" max="6" width="26" customWidth="1"/>
    <col min="7" max="8" width="12" customWidth="1"/>
    <col min="9" max="9" width="10" customWidth="1"/>
    <col min="10" max="10" width="12" customWidth="1"/>
    <col min="11" max="11" width="10" customWidth="1"/>
    <col min="12" max="12" width="14" customWidth="1"/>
    <col min="13" max="13" width="12" customWidth="1"/>
    <col min="14" max="14" width="13" customWidth="1"/>
  </cols>
  <sheetData>
    <row r="1" ht="30" customHeight="1" spans="1:14">
      <c r="A1" s="1" t="s">
        <v>110</v>
      </c>
    </row>
    <row r="3" spans="1:14">
      <c r="A3" s="2" t="s">
        <v>111</v>
      </c>
      <c r="B3" s="2" t="s">
        <v>112</v>
      </c>
      <c r="C3" s="2" t="s">
        <v>113</v>
      </c>
      <c r="D3" s="2" t="s">
        <v>114</v>
      </c>
      <c r="E3" s="2" t="s">
        <v>3</v>
      </c>
      <c r="F3" s="2" t="s">
        <v>4</v>
      </c>
      <c r="G3" s="2" t="s">
        <v>115</v>
      </c>
      <c r="H3" s="2" t="s">
        <v>116</v>
      </c>
      <c r="I3" s="2" t="s">
        <v>117</v>
      </c>
      <c r="J3" s="2" t="s">
        <v>118</v>
      </c>
      <c r="K3" s="2" t="s">
        <v>119</v>
      </c>
      <c r="L3" s="2" t="s">
        <v>120</v>
      </c>
      <c r="M3" s="2" t="s">
        <v>121</v>
      </c>
      <c r="N3" s="2" t="s">
        <v>122</v>
      </c>
    </row>
    <row r="4" spans="1:14">
      <c r="A4" s="3" t="s">
        <v>123</v>
      </c>
      <c r="B4" s="4">
        <v>46218</v>
      </c>
      <c r="C4" s="3" t="s">
        <v>124</v>
      </c>
      <c r="D4" s="3" t="s">
        <v>125</v>
      </c>
      <c r="E4" s="3" t="s">
        <v>48</v>
      </c>
      <c r="F4" s="3" t="s">
        <v>49</v>
      </c>
      <c r="G4" s="3">
        <v>5</v>
      </c>
      <c r="H4" s="5">
        <v>57</v>
      </c>
      <c r="I4" s="3">
        <v>0.06</v>
      </c>
      <c r="J4" s="5">
        <v>17.1</v>
      </c>
      <c r="K4" s="5">
        <v>12</v>
      </c>
      <c r="L4" s="5">
        <v>279.9</v>
      </c>
      <c r="M4" s="3" t="s">
        <v>126</v>
      </c>
      <c r="N4" s="3" t="s">
        <v>127</v>
      </c>
    </row>
    <row r="5" spans="1:14">
      <c r="A5" s="3" t="s">
        <v>128</v>
      </c>
      <c r="B5" s="4">
        <v>46218</v>
      </c>
      <c r="C5" s="3" t="s">
        <v>129</v>
      </c>
      <c r="D5" s="3" t="s">
        <v>130</v>
      </c>
      <c r="E5" s="3" t="s">
        <v>34</v>
      </c>
      <c r="F5" s="3" t="s">
        <v>35</v>
      </c>
      <c r="G5" s="3">
        <v>6</v>
      </c>
      <c r="H5" s="5">
        <v>37</v>
      </c>
      <c r="I5" s="3">
        <v>0.06</v>
      </c>
      <c r="J5" s="5">
        <v>13.32</v>
      </c>
      <c r="K5" s="5">
        <v>12</v>
      </c>
      <c r="L5" s="5">
        <v>220.68</v>
      </c>
      <c r="M5" s="3" t="s">
        <v>126</v>
      </c>
      <c r="N5" s="3" t="s">
        <v>127</v>
      </c>
    </row>
    <row r="6" spans="1:14">
      <c r="A6" s="3" t="s">
        <v>131</v>
      </c>
      <c r="B6" s="4">
        <v>46218</v>
      </c>
      <c r="C6" s="3" t="s">
        <v>132</v>
      </c>
      <c r="D6" s="3" t="s">
        <v>133</v>
      </c>
      <c r="E6" s="3" t="s">
        <v>44</v>
      </c>
      <c r="F6" s="3" t="s">
        <v>45</v>
      </c>
      <c r="G6" s="3">
        <v>7</v>
      </c>
      <c r="H6" s="5">
        <v>51</v>
      </c>
      <c r="I6" s="3">
        <v>0.06</v>
      </c>
      <c r="J6" s="5">
        <v>21.42</v>
      </c>
      <c r="K6" s="5">
        <v>12</v>
      </c>
      <c r="L6" s="5">
        <v>347.58</v>
      </c>
      <c r="M6" s="3" t="s">
        <v>126</v>
      </c>
      <c r="N6" s="3" t="s">
        <v>134</v>
      </c>
    </row>
    <row r="7" spans="1:14">
      <c r="A7" s="3" t="s">
        <v>135</v>
      </c>
      <c r="B7" s="4">
        <v>46218</v>
      </c>
      <c r="C7" s="3" t="s">
        <v>136</v>
      </c>
      <c r="D7" s="3" t="s">
        <v>137</v>
      </c>
      <c r="E7" s="3" t="s">
        <v>28</v>
      </c>
      <c r="F7" s="3" t="s">
        <v>29</v>
      </c>
      <c r="G7" s="3">
        <v>8</v>
      </c>
      <c r="H7" s="5">
        <v>85</v>
      </c>
      <c r="I7" s="3">
        <v>0.03</v>
      </c>
      <c r="J7" s="5">
        <v>20.4</v>
      </c>
      <c r="K7" s="5">
        <v>12</v>
      </c>
      <c r="L7" s="5">
        <v>671.6</v>
      </c>
      <c r="M7" s="3" t="s">
        <v>126</v>
      </c>
      <c r="N7" s="3" t="s">
        <v>127</v>
      </c>
    </row>
    <row r="8" spans="1:14">
      <c r="A8" s="3" t="s">
        <v>138</v>
      </c>
      <c r="B8" s="4">
        <v>46219</v>
      </c>
      <c r="C8" s="3" t="s">
        <v>129</v>
      </c>
      <c r="D8" s="3" t="s">
        <v>130</v>
      </c>
      <c r="E8" s="3" t="s">
        <v>28</v>
      </c>
      <c r="F8" s="3" t="s">
        <v>29</v>
      </c>
      <c r="G8" s="3">
        <v>6</v>
      </c>
      <c r="H8" s="5">
        <v>81</v>
      </c>
      <c r="I8" s="3">
        <v>0.06</v>
      </c>
      <c r="J8" s="5">
        <v>29.16</v>
      </c>
      <c r="K8" s="5">
        <v>12</v>
      </c>
      <c r="L8" s="5">
        <v>468.84</v>
      </c>
      <c r="M8" s="3" t="s">
        <v>126</v>
      </c>
      <c r="N8" s="3" t="s">
        <v>127</v>
      </c>
    </row>
    <row r="9" spans="1:14">
      <c r="A9" s="3" t="s">
        <v>139</v>
      </c>
      <c r="B9" s="4">
        <v>46219</v>
      </c>
      <c r="C9" s="3" t="s">
        <v>132</v>
      </c>
      <c r="D9" s="3" t="s">
        <v>133</v>
      </c>
      <c r="E9" s="3" t="s">
        <v>40</v>
      </c>
      <c r="F9" s="3" t="s">
        <v>41</v>
      </c>
      <c r="G9" s="3">
        <v>7</v>
      </c>
      <c r="H9" s="5">
        <v>64</v>
      </c>
      <c r="I9" s="3">
        <v>0.06</v>
      </c>
      <c r="J9" s="5">
        <v>26.88</v>
      </c>
      <c r="K9" s="5">
        <v>12</v>
      </c>
      <c r="L9" s="5">
        <v>433.12</v>
      </c>
      <c r="M9" s="3" t="s">
        <v>126</v>
      </c>
      <c r="N9" s="3" t="s">
        <v>134</v>
      </c>
    </row>
    <row r="10" spans="1:14">
      <c r="A10" s="3" t="s">
        <v>140</v>
      </c>
      <c r="B10" s="4">
        <v>46219</v>
      </c>
      <c r="C10" s="3" t="s">
        <v>136</v>
      </c>
      <c r="D10" s="3" t="s">
        <v>137</v>
      </c>
      <c r="E10" s="3" t="s">
        <v>50</v>
      </c>
      <c r="F10" s="3" t="s">
        <v>51</v>
      </c>
      <c r="G10" s="3">
        <v>8</v>
      </c>
      <c r="H10" s="5">
        <v>88</v>
      </c>
      <c r="I10" s="3">
        <v>0.03</v>
      </c>
      <c r="J10" s="5">
        <v>21.12</v>
      </c>
      <c r="K10" s="5">
        <v>12</v>
      </c>
      <c r="L10" s="5">
        <v>694.88</v>
      </c>
      <c r="M10" s="3" t="s">
        <v>126</v>
      </c>
      <c r="N10" s="3" t="s">
        <v>141</v>
      </c>
    </row>
    <row r="11" spans="1:14">
      <c r="A11" s="3" t="s">
        <v>142</v>
      </c>
      <c r="B11" s="4">
        <v>46219</v>
      </c>
      <c r="C11" s="3" t="s">
        <v>143</v>
      </c>
      <c r="D11" s="3" t="s">
        <v>144</v>
      </c>
      <c r="E11" s="3" t="s">
        <v>36</v>
      </c>
      <c r="F11" s="3" t="s">
        <v>37</v>
      </c>
      <c r="G11" s="3">
        <v>9</v>
      </c>
      <c r="H11" s="5">
        <v>70</v>
      </c>
      <c r="I11" s="3">
        <v>0.06</v>
      </c>
      <c r="J11" s="5">
        <v>37.8</v>
      </c>
      <c r="K11" s="5">
        <v>12</v>
      </c>
      <c r="L11" s="5">
        <v>604.2</v>
      </c>
      <c r="M11" s="3" t="s">
        <v>126</v>
      </c>
      <c r="N11" s="3" t="s">
        <v>127</v>
      </c>
    </row>
    <row r="12" spans="1:14">
      <c r="A12" s="3" t="s">
        <v>145</v>
      </c>
      <c r="B12" s="4">
        <v>46220</v>
      </c>
      <c r="C12" s="3" t="s">
        <v>132</v>
      </c>
      <c r="D12" s="3" t="s">
        <v>133</v>
      </c>
      <c r="E12" s="3" t="s">
        <v>36</v>
      </c>
      <c r="F12" s="3" t="s">
        <v>37</v>
      </c>
      <c r="G12" s="3">
        <v>7</v>
      </c>
      <c r="H12" s="5">
        <v>70</v>
      </c>
      <c r="I12" s="3">
        <v>0.06</v>
      </c>
      <c r="J12" s="5">
        <v>29.4</v>
      </c>
      <c r="K12" s="5">
        <v>12</v>
      </c>
      <c r="L12" s="5">
        <v>472.6</v>
      </c>
      <c r="M12" s="3" t="s">
        <v>146</v>
      </c>
      <c r="N12" s="3" t="s">
        <v>134</v>
      </c>
    </row>
    <row r="13" spans="1:14">
      <c r="A13" s="3" t="s">
        <v>147</v>
      </c>
      <c r="B13" s="4">
        <v>46220</v>
      </c>
      <c r="C13" s="3" t="s">
        <v>136</v>
      </c>
      <c r="D13" s="3" t="s">
        <v>137</v>
      </c>
      <c r="E13" s="3" t="s">
        <v>46</v>
      </c>
      <c r="F13" s="3" t="s">
        <v>47</v>
      </c>
      <c r="G13" s="3">
        <v>8</v>
      </c>
      <c r="H13" s="5">
        <v>81</v>
      </c>
      <c r="I13" s="3">
        <v>0.03</v>
      </c>
      <c r="J13" s="5">
        <v>19.44</v>
      </c>
      <c r="K13" s="5">
        <v>12</v>
      </c>
      <c r="L13" s="5">
        <v>640.56</v>
      </c>
      <c r="M13" s="3" t="s">
        <v>126</v>
      </c>
      <c r="N13" s="3" t="s">
        <v>127</v>
      </c>
    </row>
    <row r="14" spans="1:14">
      <c r="A14" s="3" t="s">
        <v>148</v>
      </c>
      <c r="B14" s="4">
        <v>46220</v>
      </c>
      <c r="C14" s="3" t="s">
        <v>143</v>
      </c>
      <c r="D14" s="3" t="s">
        <v>144</v>
      </c>
      <c r="E14" s="3" t="s">
        <v>32</v>
      </c>
      <c r="F14" s="3" t="s">
        <v>33</v>
      </c>
      <c r="G14" s="3">
        <v>9</v>
      </c>
      <c r="H14" s="5">
        <v>68</v>
      </c>
      <c r="I14" s="3">
        <v>0.06</v>
      </c>
      <c r="J14" s="5">
        <v>36.72</v>
      </c>
      <c r="K14" s="5">
        <v>12</v>
      </c>
      <c r="L14" s="5">
        <v>587.28</v>
      </c>
      <c r="M14" s="3" t="s">
        <v>126</v>
      </c>
      <c r="N14" s="3" t="s">
        <v>127</v>
      </c>
    </row>
    <row r="15" spans="1:14">
      <c r="A15" s="3" t="s">
        <v>149</v>
      </c>
      <c r="B15" s="4">
        <v>46220</v>
      </c>
      <c r="C15" s="3" t="s">
        <v>150</v>
      </c>
      <c r="D15" s="3" t="s">
        <v>151</v>
      </c>
      <c r="E15" s="3" t="s">
        <v>42</v>
      </c>
      <c r="F15" s="3" t="s">
        <v>43</v>
      </c>
      <c r="G15" s="3">
        <v>10</v>
      </c>
      <c r="H15" s="5">
        <v>31</v>
      </c>
      <c r="I15" s="3">
        <v>0.03</v>
      </c>
      <c r="J15" s="5">
        <v>9.3</v>
      </c>
      <c r="K15" s="5">
        <v>12</v>
      </c>
      <c r="L15" s="5">
        <v>312.7</v>
      </c>
      <c r="M15" s="3" t="s">
        <v>126</v>
      </c>
      <c r="N15" s="3" t="s">
        <v>134</v>
      </c>
    </row>
    <row r="16" spans="1:14">
      <c r="A16" s="3" t="s">
        <v>152</v>
      </c>
      <c r="B16" s="4">
        <v>46221</v>
      </c>
      <c r="C16" s="3" t="s">
        <v>136</v>
      </c>
      <c r="D16" s="3" t="s">
        <v>137</v>
      </c>
      <c r="E16" s="3" t="s">
        <v>42</v>
      </c>
      <c r="F16" s="3" t="s">
        <v>43</v>
      </c>
      <c r="G16" s="3">
        <v>8</v>
      </c>
      <c r="H16" s="5">
        <v>31</v>
      </c>
      <c r="I16" s="3">
        <v>0.03</v>
      </c>
      <c r="J16" s="5">
        <v>7.44</v>
      </c>
      <c r="K16" s="5">
        <v>12</v>
      </c>
      <c r="L16" s="5">
        <v>252.56</v>
      </c>
      <c r="M16" s="3" t="s">
        <v>126</v>
      </c>
      <c r="N16" s="3" t="s">
        <v>127</v>
      </c>
    </row>
    <row r="17" spans="1:14">
      <c r="A17" s="3" t="s">
        <v>153</v>
      </c>
      <c r="B17" s="4">
        <v>46221</v>
      </c>
      <c r="C17" s="3" t="s">
        <v>143</v>
      </c>
      <c r="D17" s="3" t="s">
        <v>144</v>
      </c>
      <c r="E17" s="3" t="s">
        <v>52</v>
      </c>
      <c r="F17" s="3" t="s">
        <v>53</v>
      </c>
      <c r="G17" s="3">
        <v>9</v>
      </c>
      <c r="H17" s="5">
        <v>62</v>
      </c>
      <c r="I17" s="3">
        <v>0.06</v>
      </c>
      <c r="J17" s="5">
        <v>33.48</v>
      </c>
      <c r="K17" s="5">
        <v>12</v>
      </c>
      <c r="L17" s="5">
        <v>536.52</v>
      </c>
      <c r="M17" s="3" t="s">
        <v>126</v>
      </c>
      <c r="N17" s="3" t="s">
        <v>141</v>
      </c>
    </row>
    <row r="18" spans="1:14">
      <c r="A18" s="3" t="s">
        <v>154</v>
      </c>
      <c r="B18" s="4">
        <v>46221</v>
      </c>
      <c r="C18" s="3" t="s">
        <v>150</v>
      </c>
      <c r="D18" s="3" t="s">
        <v>151</v>
      </c>
      <c r="E18" s="3" t="s">
        <v>38</v>
      </c>
      <c r="F18" s="3" t="s">
        <v>39</v>
      </c>
      <c r="G18" s="3">
        <v>10</v>
      </c>
      <c r="H18" s="5">
        <v>65</v>
      </c>
      <c r="I18" s="3">
        <v>0.03</v>
      </c>
      <c r="J18" s="5">
        <v>19.5</v>
      </c>
      <c r="K18" s="5">
        <v>12</v>
      </c>
      <c r="L18" s="5">
        <v>642.5</v>
      </c>
      <c r="M18" s="3" t="s">
        <v>126</v>
      </c>
      <c r="N18" s="3" t="s">
        <v>134</v>
      </c>
    </row>
    <row r="19" spans="1:14">
      <c r="A19" s="3" t="s">
        <v>155</v>
      </c>
      <c r="B19" s="4">
        <v>46221</v>
      </c>
      <c r="C19" s="3" t="s">
        <v>156</v>
      </c>
      <c r="D19" s="3" t="s">
        <v>157</v>
      </c>
      <c r="E19" s="3" t="s">
        <v>48</v>
      </c>
      <c r="F19" s="3" t="s">
        <v>49</v>
      </c>
      <c r="G19" s="3">
        <v>11</v>
      </c>
      <c r="H19" s="5">
        <v>61</v>
      </c>
      <c r="I19" s="3">
        <v>0.03</v>
      </c>
      <c r="J19" s="5">
        <v>20.13</v>
      </c>
      <c r="K19" s="5">
        <v>12</v>
      </c>
      <c r="L19" s="5">
        <v>662.87</v>
      </c>
      <c r="M19" s="3" t="s">
        <v>126</v>
      </c>
      <c r="N19" s="3" t="s">
        <v>127</v>
      </c>
    </row>
    <row r="20" spans="1:14">
      <c r="A20" s="3" t="s">
        <v>158</v>
      </c>
      <c r="B20" s="4">
        <v>46222</v>
      </c>
      <c r="C20" s="3" t="s">
        <v>143</v>
      </c>
      <c r="D20" s="3" t="s">
        <v>144</v>
      </c>
      <c r="E20" s="3" t="s">
        <v>48</v>
      </c>
      <c r="F20" s="3" t="s">
        <v>49</v>
      </c>
      <c r="G20" s="3">
        <v>9</v>
      </c>
      <c r="H20" s="5">
        <v>57</v>
      </c>
      <c r="I20" s="3">
        <v>0.06</v>
      </c>
      <c r="J20" s="5">
        <v>30.78</v>
      </c>
      <c r="K20" s="5">
        <v>12</v>
      </c>
      <c r="L20" s="5">
        <v>494.22</v>
      </c>
      <c r="M20" s="3" t="s">
        <v>126</v>
      </c>
      <c r="N20" s="3" t="s">
        <v>127</v>
      </c>
    </row>
    <row r="21" spans="1:14">
      <c r="A21" s="3" t="s">
        <v>159</v>
      </c>
      <c r="B21" s="4">
        <v>46222</v>
      </c>
      <c r="C21" s="3" t="s">
        <v>150</v>
      </c>
      <c r="D21" s="3" t="s">
        <v>151</v>
      </c>
      <c r="E21" s="3" t="s">
        <v>34</v>
      </c>
      <c r="F21" s="3" t="s">
        <v>35</v>
      </c>
      <c r="G21" s="3">
        <v>10</v>
      </c>
      <c r="H21" s="5">
        <v>41</v>
      </c>
      <c r="I21" s="3">
        <v>0.03</v>
      </c>
      <c r="J21" s="5">
        <v>12.3</v>
      </c>
      <c r="K21" s="5">
        <v>12</v>
      </c>
      <c r="L21" s="5">
        <v>409.7</v>
      </c>
      <c r="M21" s="3" t="s">
        <v>146</v>
      </c>
      <c r="N21" s="3" t="s">
        <v>134</v>
      </c>
    </row>
    <row r="22" spans="1:14">
      <c r="A22" s="3" t="s">
        <v>160</v>
      </c>
      <c r="B22" s="4">
        <v>46222</v>
      </c>
      <c r="C22" s="3" t="s">
        <v>156</v>
      </c>
      <c r="D22" s="3" t="s">
        <v>157</v>
      </c>
      <c r="E22" s="3" t="s">
        <v>44</v>
      </c>
      <c r="F22" s="3" t="s">
        <v>45</v>
      </c>
      <c r="G22" s="3">
        <v>11</v>
      </c>
      <c r="H22" s="5">
        <v>55</v>
      </c>
      <c r="I22" s="3">
        <v>0.03</v>
      </c>
      <c r="J22" s="5">
        <v>18.15</v>
      </c>
      <c r="K22" s="5">
        <v>12</v>
      </c>
      <c r="L22" s="5">
        <v>598.85</v>
      </c>
      <c r="M22" s="3" t="s">
        <v>126</v>
      </c>
      <c r="N22" s="3" t="s">
        <v>127</v>
      </c>
    </row>
    <row r="23" spans="1:14">
      <c r="A23" s="3" t="s">
        <v>161</v>
      </c>
      <c r="B23" s="4">
        <v>46222</v>
      </c>
      <c r="C23" s="3" t="s">
        <v>162</v>
      </c>
      <c r="D23" s="3" t="s">
        <v>163</v>
      </c>
      <c r="E23" s="3" t="s">
        <v>28</v>
      </c>
      <c r="F23" s="3" t="s">
        <v>29</v>
      </c>
      <c r="G23" s="3">
        <v>12</v>
      </c>
      <c r="H23" s="5">
        <v>81</v>
      </c>
      <c r="I23" s="3">
        <v>0.06</v>
      </c>
      <c r="J23" s="5">
        <v>58.32</v>
      </c>
      <c r="K23" s="5">
        <v>0</v>
      </c>
      <c r="L23" s="5">
        <v>913.68</v>
      </c>
      <c r="M23" s="3" t="s">
        <v>126</v>
      </c>
      <c r="N23" s="3" t="s">
        <v>127</v>
      </c>
    </row>
    <row r="24" spans="1:14">
      <c r="A24" s="3" t="s">
        <v>164</v>
      </c>
      <c r="B24" s="4">
        <v>46223</v>
      </c>
      <c r="C24" s="3" t="s">
        <v>150</v>
      </c>
      <c r="D24" s="3" t="s">
        <v>151</v>
      </c>
      <c r="E24" s="3" t="s">
        <v>28</v>
      </c>
      <c r="F24" s="3" t="s">
        <v>29</v>
      </c>
      <c r="G24" s="3">
        <v>10</v>
      </c>
      <c r="H24" s="5">
        <v>85</v>
      </c>
      <c r="I24" s="3">
        <v>0.03</v>
      </c>
      <c r="J24" s="5">
        <v>25.5</v>
      </c>
      <c r="K24" s="5">
        <v>12</v>
      </c>
      <c r="L24" s="5">
        <v>836.5</v>
      </c>
      <c r="M24" s="3" t="s">
        <v>126</v>
      </c>
      <c r="N24" s="3" t="s">
        <v>141</v>
      </c>
    </row>
    <row r="25" spans="1:14">
      <c r="A25" s="3" t="s">
        <v>165</v>
      </c>
      <c r="B25" s="4">
        <v>46223</v>
      </c>
      <c r="C25" s="3" t="s">
        <v>156</v>
      </c>
      <c r="D25" s="3" t="s">
        <v>157</v>
      </c>
      <c r="E25" s="3" t="s">
        <v>40</v>
      </c>
      <c r="F25" s="3" t="s">
        <v>41</v>
      </c>
      <c r="G25" s="3">
        <v>11</v>
      </c>
      <c r="H25" s="5">
        <v>68</v>
      </c>
      <c r="I25" s="3">
        <v>0.03</v>
      </c>
      <c r="J25" s="5">
        <v>22.44</v>
      </c>
      <c r="K25" s="5">
        <v>12</v>
      </c>
      <c r="L25" s="5">
        <v>737.56</v>
      </c>
      <c r="M25" s="3" t="s">
        <v>126</v>
      </c>
      <c r="N25" s="3" t="s">
        <v>127</v>
      </c>
    </row>
    <row r="26" spans="1:14">
      <c r="A26" s="3" t="s">
        <v>166</v>
      </c>
      <c r="B26" s="4">
        <v>46223</v>
      </c>
      <c r="C26" s="3" t="s">
        <v>162</v>
      </c>
      <c r="D26" s="3" t="s">
        <v>163</v>
      </c>
      <c r="E26" s="3" t="s">
        <v>50</v>
      </c>
      <c r="F26" s="3" t="s">
        <v>51</v>
      </c>
      <c r="G26" s="3">
        <v>12</v>
      </c>
      <c r="H26" s="5">
        <v>84</v>
      </c>
      <c r="I26" s="3">
        <v>0.06</v>
      </c>
      <c r="J26" s="5">
        <v>60.48</v>
      </c>
      <c r="K26" s="5">
        <v>0</v>
      </c>
      <c r="L26" s="5">
        <v>947.52</v>
      </c>
      <c r="M26" s="3" t="s">
        <v>126</v>
      </c>
      <c r="N26" s="3" t="s">
        <v>127</v>
      </c>
    </row>
    <row r="27" spans="1:14">
      <c r="A27" s="3" t="s">
        <v>167</v>
      </c>
      <c r="B27" s="4">
        <v>46223</v>
      </c>
      <c r="C27" s="3" t="s">
        <v>124</v>
      </c>
      <c r="D27" s="3" t="s">
        <v>125</v>
      </c>
      <c r="E27" s="3" t="s">
        <v>36</v>
      </c>
      <c r="F27" s="3" t="s">
        <v>37</v>
      </c>
      <c r="G27" s="3">
        <v>13</v>
      </c>
      <c r="H27" s="5">
        <v>70</v>
      </c>
      <c r="I27" s="3">
        <v>0.06</v>
      </c>
      <c r="J27" s="5">
        <v>54.6</v>
      </c>
      <c r="K27" s="5">
        <v>0</v>
      </c>
      <c r="L27" s="5">
        <v>855.4</v>
      </c>
      <c r="M27" s="3" t="s">
        <v>126</v>
      </c>
      <c r="N27" s="3" t="s">
        <v>134</v>
      </c>
    </row>
    <row r="28" spans="1:14">
      <c r="A28" s="3" t="s">
        <v>168</v>
      </c>
      <c r="B28" s="4">
        <v>46224</v>
      </c>
      <c r="C28" s="3" t="s">
        <v>156</v>
      </c>
      <c r="D28" s="3" t="s">
        <v>157</v>
      </c>
      <c r="E28" s="3" t="s">
        <v>36</v>
      </c>
      <c r="F28" s="3" t="s">
        <v>37</v>
      </c>
      <c r="G28" s="3">
        <v>11</v>
      </c>
      <c r="H28" s="5">
        <v>74</v>
      </c>
      <c r="I28" s="3">
        <v>0.03</v>
      </c>
      <c r="J28" s="5">
        <v>24.42</v>
      </c>
      <c r="K28" s="5">
        <v>12</v>
      </c>
      <c r="L28" s="5">
        <v>801.58</v>
      </c>
      <c r="M28" s="3" t="s">
        <v>126</v>
      </c>
      <c r="N28" s="3" t="s">
        <v>127</v>
      </c>
    </row>
    <row r="29" spans="1:14">
      <c r="A29" s="3" t="s">
        <v>169</v>
      </c>
      <c r="B29" s="4">
        <v>46224</v>
      </c>
      <c r="C29" s="3" t="s">
        <v>162</v>
      </c>
      <c r="D29" s="3" t="s">
        <v>163</v>
      </c>
      <c r="E29" s="3" t="s">
        <v>46</v>
      </c>
      <c r="F29" s="3" t="s">
        <v>47</v>
      </c>
      <c r="G29" s="3">
        <v>12</v>
      </c>
      <c r="H29" s="5">
        <v>77</v>
      </c>
      <c r="I29" s="3">
        <v>0.06</v>
      </c>
      <c r="J29" s="5">
        <v>55.44</v>
      </c>
      <c r="K29" s="5">
        <v>0</v>
      </c>
      <c r="L29" s="5">
        <v>868.56</v>
      </c>
      <c r="M29" s="3" t="s">
        <v>126</v>
      </c>
      <c r="N29" s="3" t="s">
        <v>127</v>
      </c>
    </row>
    <row r="30" spans="1:14">
      <c r="A30" s="3" t="s">
        <v>170</v>
      </c>
      <c r="B30" s="4">
        <v>46224</v>
      </c>
      <c r="C30" s="3" t="s">
        <v>124</v>
      </c>
      <c r="D30" s="3" t="s">
        <v>125</v>
      </c>
      <c r="E30" s="3" t="s">
        <v>32</v>
      </c>
      <c r="F30" s="3" t="s">
        <v>33</v>
      </c>
      <c r="G30" s="3">
        <v>13</v>
      </c>
      <c r="H30" s="5">
        <v>68</v>
      </c>
      <c r="I30" s="3">
        <v>0.06</v>
      </c>
      <c r="J30" s="5">
        <v>53.04</v>
      </c>
      <c r="K30" s="5">
        <v>0</v>
      </c>
      <c r="L30" s="5">
        <v>830.96</v>
      </c>
      <c r="M30" s="3" t="s">
        <v>146</v>
      </c>
      <c r="N30" s="3" t="s">
        <v>134</v>
      </c>
    </row>
    <row r="31" spans="1:14">
      <c r="A31" s="3" t="s">
        <v>171</v>
      </c>
      <c r="B31" s="4">
        <v>46224</v>
      </c>
      <c r="C31" s="3" t="s">
        <v>129</v>
      </c>
      <c r="D31" s="3" t="s">
        <v>130</v>
      </c>
      <c r="E31" s="3" t="s">
        <v>42</v>
      </c>
      <c r="F31" s="3" t="s">
        <v>43</v>
      </c>
      <c r="G31" s="3">
        <v>14</v>
      </c>
      <c r="H31" s="5">
        <v>27</v>
      </c>
      <c r="I31" s="3">
        <v>0.06</v>
      </c>
      <c r="J31" s="5">
        <v>22.68</v>
      </c>
      <c r="K31" s="5">
        <v>0</v>
      </c>
      <c r="L31" s="5">
        <v>355.32</v>
      </c>
      <c r="M31" s="3" t="s">
        <v>126</v>
      </c>
      <c r="N31" s="3" t="s">
        <v>141</v>
      </c>
    </row>
    <row r="32" spans="1:14">
      <c r="A32" s="3" t="s">
        <v>172</v>
      </c>
      <c r="B32" s="4">
        <v>46225</v>
      </c>
      <c r="C32" s="3" t="s">
        <v>162</v>
      </c>
      <c r="D32" s="3" t="s">
        <v>163</v>
      </c>
      <c r="E32" s="3" t="s">
        <v>42</v>
      </c>
      <c r="F32" s="3" t="s">
        <v>43</v>
      </c>
      <c r="G32" s="3">
        <v>12</v>
      </c>
      <c r="H32" s="5">
        <v>27</v>
      </c>
      <c r="I32" s="3">
        <v>0.06</v>
      </c>
      <c r="J32" s="5">
        <v>19.44</v>
      </c>
      <c r="K32" s="5">
        <v>0</v>
      </c>
      <c r="L32" s="5">
        <v>304.56</v>
      </c>
      <c r="M32" s="3" t="s">
        <v>126</v>
      </c>
      <c r="N32" s="3" t="s">
        <v>127</v>
      </c>
    </row>
    <row r="33" spans="1:14">
      <c r="A33" s="3" t="s">
        <v>173</v>
      </c>
      <c r="B33" s="4">
        <v>46225</v>
      </c>
      <c r="C33" s="3" t="s">
        <v>124</v>
      </c>
      <c r="D33" s="3" t="s">
        <v>125</v>
      </c>
      <c r="E33" s="3" t="s">
        <v>52</v>
      </c>
      <c r="F33" s="3" t="s">
        <v>53</v>
      </c>
      <c r="G33" s="3">
        <v>13</v>
      </c>
      <c r="H33" s="5">
        <v>62</v>
      </c>
      <c r="I33" s="3">
        <v>0.06</v>
      </c>
      <c r="J33" s="5">
        <v>48.36</v>
      </c>
      <c r="K33" s="5">
        <v>0</v>
      </c>
      <c r="L33" s="5">
        <v>757.64</v>
      </c>
      <c r="M33" s="3" t="s">
        <v>126</v>
      </c>
      <c r="N33" s="3" t="s">
        <v>134</v>
      </c>
    </row>
    <row r="34" spans="1:14">
      <c r="A34" s="3" t="s">
        <v>174</v>
      </c>
      <c r="B34" s="4">
        <v>46225</v>
      </c>
      <c r="C34" s="3" t="s">
        <v>129</v>
      </c>
      <c r="D34" s="3" t="s">
        <v>130</v>
      </c>
      <c r="E34" s="3" t="s">
        <v>38</v>
      </c>
      <c r="F34" s="3" t="s">
        <v>39</v>
      </c>
      <c r="G34" s="3">
        <v>14</v>
      </c>
      <c r="H34" s="5">
        <v>61</v>
      </c>
      <c r="I34" s="3">
        <v>0.06</v>
      </c>
      <c r="J34" s="5">
        <v>51.24</v>
      </c>
      <c r="K34" s="5">
        <v>0</v>
      </c>
      <c r="L34" s="5">
        <v>802.76</v>
      </c>
      <c r="M34" s="3" t="s">
        <v>126</v>
      </c>
      <c r="N34" s="3" t="s">
        <v>127</v>
      </c>
    </row>
    <row r="35" spans="1:14">
      <c r="A35" s="3" t="s">
        <v>175</v>
      </c>
      <c r="B35" s="4">
        <v>46225</v>
      </c>
      <c r="C35" s="3" t="s">
        <v>132</v>
      </c>
      <c r="D35" s="3" t="s">
        <v>133</v>
      </c>
      <c r="E35" s="3" t="s">
        <v>48</v>
      </c>
      <c r="F35" s="3" t="s">
        <v>49</v>
      </c>
      <c r="G35" s="3">
        <v>15</v>
      </c>
      <c r="H35" s="5">
        <v>57</v>
      </c>
      <c r="I35" s="3">
        <v>0.06</v>
      </c>
      <c r="J35" s="5">
        <v>51.3</v>
      </c>
      <c r="K35" s="5">
        <v>0</v>
      </c>
      <c r="L35" s="5">
        <v>803.7</v>
      </c>
      <c r="M35" s="3" t="s">
        <v>126</v>
      </c>
      <c r="N35" s="3" t="s">
        <v>127</v>
      </c>
    </row>
    <row r="36" spans="1:14">
      <c r="A36" s="3" t="s">
        <v>176</v>
      </c>
      <c r="B36" s="4">
        <v>46226</v>
      </c>
      <c r="C36" s="3" t="s">
        <v>124</v>
      </c>
      <c r="D36" s="3" t="s">
        <v>125</v>
      </c>
      <c r="E36" s="3" t="s">
        <v>48</v>
      </c>
      <c r="F36" s="3" t="s">
        <v>49</v>
      </c>
      <c r="G36" s="3">
        <v>13</v>
      </c>
      <c r="H36" s="5">
        <v>57</v>
      </c>
      <c r="I36" s="3">
        <v>0.06</v>
      </c>
      <c r="J36" s="5">
        <v>44.46</v>
      </c>
      <c r="K36" s="5">
        <v>0</v>
      </c>
      <c r="L36" s="5">
        <v>696.54</v>
      </c>
      <c r="M36" s="3" t="s">
        <v>126</v>
      </c>
      <c r="N36" s="3" t="s">
        <v>134</v>
      </c>
    </row>
    <row r="37" spans="1:14">
      <c r="A37" s="3" t="s">
        <v>177</v>
      </c>
      <c r="B37" s="4">
        <v>46226</v>
      </c>
      <c r="C37" s="3" t="s">
        <v>129</v>
      </c>
      <c r="D37" s="3" t="s">
        <v>130</v>
      </c>
      <c r="E37" s="3" t="s">
        <v>34</v>
      </c>
      <c r="F37" s="3" t="s">
        <v>35</v>
      </c>
      <c r="G37" s="3">
        <v>14</v>
      </c>
      <c r="H37" s="5">
        <v>37</v>
      </c>
      <c r="I37" s="3">
        <v>0.06</v>
      </c>
      <c r="J37" s="5">
        <v>31.08</v>
      </c>
      <c r="K37" s="5">
        <v>0</v>
      </c>
      <c r="L37" s="5">
        <v>486.92</v>
      </c>
      <c r="M37" s="3" t="s">
        <v>126</v>
      </c>
      <c r="N37" s="3" t="s">
        <v>127</v>
      </c>
    </row>
    <row r="38" spans="1:14">
      <c r="A38" s="3" t="s">
        <v>178</v>
      </c>
      <c r="B38" s="4">
        <v>46226</v>
      </c>
      <c r="C38" s="3" t="s">
        <v>132</v>
      </c>
      <c r="D38" s="3" t="s">
        <v>133</v>
      </c>
      <c r="E38" s="3" t="s">
        <v>44</v>
      </c>
      <c r="F38" s="3" t="s">
        <v>45</v>
      </c>
      <c r="G38" s="3">
        <v>15</v>
      </c>
      <c r="H38" s="5">
        <v>51</v>
      </c>
      <c r="I38" s="3">
        <v>0.06</v>
      </c>
      <c r="J38" s="5">
        <v>45.9</v>
      </c>
      <c r="K38" s="5">
        <v>0</v>
      </c>
      <c r="L38" s="5">
        <v>719.1</v>
      </c>
      <c r="M38" s="3" t="s">
        <v>126</v>
      </c>
      <c r="N38" s="3" t="s">
        <v>141</v>
      </c>
    </row>
    <row r="39" spans="1:14">
      <c r="A39" s="3" t="s">
        <v>179</v>
      </c>
      <c r="B39" s="4">
        <v>46226</v>
      </c>
      <c r="C39" s="3" t="s">
        <v>136</v>
      </c>
      <c r="D39" s="3" t="s">
        <v>137</v>
      </c>
      <c r="E39" s="3" t="s">
        <v>28</v>
      </c>
      <c r="F39" s="3" t="s">
        <v>29</v>
      </c>
      <c r="G39" s="3">
        <v>16</v>
      </c>
      <c r="H39" s="5">
        <v>85</v>
      </c>
      <c r="I39" s="3">
        <v>0.03</v>
      </c>
      <c r="J39" s="5">
        <v>40.8</v>
      </c>
      <c r="K39" s="5">
        <v>0</v>
      </c>
      <c r="L39" s="5">
        <v>1319.2</v>
      </c>
      <c r="M39" s="3" t="s">
        <v>146</v>
      </c>
      <c r="N39" s="3" t="s">
        <v>134</v>
      </c>
    </row>
    <row r="40" spans="1:14">
      <c r="A40" s="3" t="s">
        <v>180</v>
      </c>
      <c r="B40" s="4">
        <v>46227</v>
      </c>
      <c r="C40" s="3" t="s">
        <v>129</v>
      </c>
      <c r="D40" s="3" t="s">
        <v>130</v>
      </c>
      <c r="E40" s="3" t="s">
        <v>28</v>
      </c>
      <c r="F40" s="3" t="s">
        <v>29</v>
      </c>
      <c r="G40" s="3">
        <v>14</v>
      </c>
      <c r="H40" s="5">
        <v>81</v>
      </c>
      <c r="I40" s="3">
        <v>0.06</v>
      </c>
      <c r="J40" s="5">
        <v>68.04</v>
      </c>
      <c r="K40" s="5">
        <v>0</v>
      </c>
      <c r="L40" s="5">
        <v>1065.96</v>
      </c>
      <c r="M40" s="3" t="s">
        <v>126</v>
      </c>
      <c r="N40" s="3" t="s">
        <v>127</v>
      </c>
    </row>
    <row r="41" spans="1:14">
      <c r="A41" s="3" t="s">
        <v>181</v>
      </c>
      <c r="B41" s="4">
        <v>46227</v>
      </c>
      <c r="C41" s="3" t="s">
        <v>132</v>
      </c>
      <c r="D41" s="3" t="s">
        <v>133</v>
      </c>
      <c r="E41" s="3" t="s">
        <v>40</v>
      </c>
      <c r="F41" s="3" t="s">
        <v>41</v>
      </c>
      <c r="G41" s="3">
        <v>15</v>
      </c>
      <c r="H41" s="5">
        <v>64</v>
      </c>
      <c r="I41" s="3">
        <v>0.06</v>
      </c>
      <c r="J41" s="5">
        <v>57.6</v>
      </c>
      <c r="K41" s="5">
        <v>0</v>
      </c>
      <c r="L41" s="5">
        <v>902.4</v>
      </c>
      <c r="M41" s="3" t="s">
        <v>126</v>
      </c>
      <c r="N41" s="3" t="s">
        <v>127</v>
      </c>
    </row>
    <row r="42" spans="1:14">
      <c r="A42" s="3" t="s">
        <v>182</v>
      </c>
      <c r="B42" s="4">
        <v>46227</v>
      </c>
      <c r="C42" s="3" t="s">
        <v>136</v>
      </c>
      <c r="D42" s="3" t="s">
        <v>137</v>
      </c>
      <c r="E42" s="3" t="s">
        <v>50</v>
      </c>
      <c r="F42" s="3" t="s">
        <v>51</v>
      </c>
      <c r="G42" s="3">
        <v>16</v>
      </c>
      <c r="H42" s="5">
        <v>88</v>
      </c>
      <c r="I42" s="3">
        <v>0.03</v>
      </c>
      <c r="J42" s="5">
        <v>42.24</v>
      </c>
      <c r="K42" s="5">
        <v>0</v>
      </c>
      <c r="L42" s="5">
        <v>1365.76</v>
      </c>
      <c r="M42" s="3" t="s">
        <v>126</v>
      </c>
      <c r="N42" s="3" t="s">
        <v>134</v>
      </c>
    </row>
    <row r="43" spans="1:14">
      <c r="A43" s="3" t="s">
        <v>183</v>
      </c>
      <c r="B43" s="4">
        <v>46227</v>
      </c>
      <c r="C43" s="3" t="s">
        <v>143</v>
      </c>
      <c r="D43" s="3" t="s">
        <v>144</v>
      </c>
      <c r="E43" s="3" t="s">
        <v>36</v>
      </c>
      <c r="F43" s="3" t="s">
        <v>37</v>
      </c>
      <c r="G43" s="3">
        <v>17</v>
      </c>
      <c r="H43" s="5">
        <v>70</v>
      </c>
      <c r="I43" s="3">
        <v>0.06</v>
      </c>
      <c r="J43" s="5">
        <v>71.4</v>
      </c>
      <c r="K43" s="5">
        <v>0</v>
      </c>
      <c r="L43" s="5">
        <v>1118.6</v>
      </c>
      <c r="M43" s="3" t="s">
        <v>126</v>
      </c>
      <c r="N43" s="3" t="s">
        <v>127</v>
      </c>
    </row>
    <row r="44" spans="1:14">
      <c r="A44" s="3" t="s">
        <v>184</v>
      </c>
      <c r="B44" s="4">
        <v>46228</v>
      </c>
      <c r="C44" s="3" t="s">
        <v>132</v>
      </c>
      <c r="D44" s="3" t="s">
        <v>133</v>
      </c>
      <c r="E44" s="3" t="s">
        <v>36</v>
      </c>
      <c r="F44" s="3" t="s">
        <v>37</v>
      </c>
      <c r="G44" s="3">
        <v>15</v>
      </c>
      <c r="H44" s="5">
        <v>70</v>
      </c>
      <c r="I44" s="3">
        <v>0.06</v>
      </c>
      <c r="J44" s="5">
        <v>63</v>
      </c>
      <c r="K44" s="5">
        <v>0</v>
      </c>
      <c r="L44" s="5">
        <v>987</v>
      </c>
      <c r="M44" s="3" t="s">
        <v>126</v>
      </c>
      <c r="N44" s="3" t="s">
        <v>127</v>
      </c>
    </row>
    <row r="45" spans="1:14">
      <c r="A45" s="3" t="s">
        <v>185</v>
      </c>
      <c r="B45" s="4">
        <v>46228</v>
      </c>
      <c r="C45" s="3" t="s">
        <v>136</v>
      </c>
      <c r="D45" s="3" t="s">
        <v>137</v>
      </c>
      <c r="E45" s="3" t="s">
        <v>46</v>
      </c>
      <c r="F45" s="3" t="s">
        <v>47</v>
      </c>
      <c r="G45" s="3">
        <v>16</v>
      </c>
      <c r="H45" s="5">
        <v>81</v>
      </c>
      <c r="I45" s="3">
        <v>0.03</v>
      </c>
      <c r="J45" s="5">
        <v>38.88</v>
      </c>
      <c r="K45" s="5">
        <v>0</v>
      </c>
      <c r="L45" s="5">
        <v>1257.12</v>
      </c>
      <c r="M45" s="3" t="s">
        <v>126</v>
      </c>
      <c r="N45" s="3" t="s">
        <v>141</v>
      </c>
    </row>
    <row r="46" spans="1:14">
      <c r="A46" s="3" t="s">
        <v>186</v>
      </c>
      <c r="B46" s="4">
        <v>46228</v>
      </c>
      <c r="C46" s="3" t="s">
        <v>143</v>
      </c>
      <c r="D46" s="3" t="s">
        <v>144</v>
      </c>
      <c r="E46" s="3" t="s">
        <v>32</v>
      </c>
      <c r="F46" s="3" t="s">
        <v>33</v>
      </c>
      <c r="G46" s="3">
        <v>17</v>
      </c>
      <c r="H46" s="5">
        <v>68</v>
      </c>
      <c r="I46" s="3">
        <v>0.06</v>
      </c>
      <c r="J46" s="5">
        <v>69.36</v>
      </c>
      <c r="K46" s="5">
        <v>0</v>
      </c>
      <c r="L46" s="5">
        <v>1086.64</v>
      </c>
      <c r="M46" s="3" t="s">
        <v>126</v>
      </c>
      <c r="N46" s="3" t="s">
        <v>127</v>
      </c>
    </row>
    <row r="47" spans="1:14">
      <c r="A47" s="3" t="s">
        <v>187</v>
      </c>
      <c r="B47" s="4">
        <v>46228</v>
      </c>
      <c r="C47" s="3" t="s">
        <v>150</v>
      </c>
      <c r="D47" s="3" t="s">
        <v>151</v>
      </c>
      <c r="E47" s="3" t="s">
        <v>42</v>
      </c>
      <c r="F47" s="3" t="s">
        <v>43</v>
      </c>
      <c r="G47" s="3">
        <v>4</v>
      </c>
      <c r="H47" s="5">
        <v>31</v>
      </c>
      <c r="I47" s="3">
        <v>0.03</v>
      </c>
      <c r="J47" s="5">
        <v>3.72</v>
      </c>
      <c r="K47" s="5">
        <v>12</v>
      </c>
      <c r="L47" s="5">
        <v>132.28</v>
      </c>
      <c r="M47" s="3" t="s">
        <v>126</v>
      </c>
      <c r="N47" s="3" t="s">
        <v>127</v>
      </c>
    </row>
    <row r="48" spans="1:14">
      <c r="A48" s="3" t="s">
        <v>188</v>
      </c>
      <c r="B48" s="4">
        <v>46229</v>
      </c>
      <c r="C48" s="3" t="s">
        <v>136</v>
      </c>
      <c r="D48" s="3" t="s">
        <v>137</v>
      </c>
      <c r="E48" s="3" t="s">
        <v>42</v>
      </c>
      <c r="F48" s="3" t="s">
        <v>43</v>
      </c>
      <c r="G48" s="3">
        <v>16</v>
      </c>
      <c r="H48" s="5">
        <v>31</v>
      </c>
      <c r="I48" s="3">
        <v>0.03</v>
      </c>
      <c r="J48" s="5">
        <v>14.88</v>
      </c>
      <c r="K48" s="5">
        <v>0</v>
      </c>
      <c r="L48" s="5">
        <v>481.12</v>
      </c>
      <c r="M48" s="3" t="s">
        <v>146</v>
      </c>
      <c r="N48" s="3" t="s">
        <v>134</v>
      </c>
    </row>
    <row r="49" spans="1:14">
      <c r="A49" s="3" t="s">
        <v>189</v>
      </c>
      <c r="B49" s="4">
        <v>46229</v>
      </c>
      <c r="C49" s="3" t="s">
        <v>143</v>
      </c>
      <c r="D49" s="3" t="s">
        <v>144</v>
      </c>
      <c r="E49" s="3" t="s">
        <v>52</v>
      </c>
      <c r="F49" s="3" t="s">
        <v>53</v>
      </c>
      <c r="G49" s="3">
        <v>17</v>
      </c>
      <c r="H49" s="5">
        <v>62</v>
      </c>
      <c r="I49" s="3">
        <v>0.06</v>
      </c>
      <c r="J49" s="5">
        <v>63.24</v>
      </c>
      <c r="K49" s="5">
        <v>0</v>
      </c>
      <c r="L49" s="5">
        <v>990.76</v>
      </c>
      <c r="M49" s="3" t="s">
        <v>126</v>
      </c>
      <c r="N49" s="3" t="s">
        <v>127</v>
      </c>
    </row>
    <row r="50" spans="1:14">
      <c r="A50" s="3" t="s">
        <v>190</v>
      </c>
      <c r="B50" s="4">
        <v>46229</v>
      </c>
      <c r="C50" s="3" t="s">
        <v>150</v>
      </c>
      <c r="D50" s="3" t="s">
        <v>151</v>
      </c>
      <c r="E50" s="3" t="s">
        <v>38</v>
      </c>
      <c r="F50" s="3" t="s">
        <v>39</v>
      </c>
      <c r="G50" s="3">
        <v>4</v>
      </c>
      <c r="H50" s="5">
        <v>65</v>
      </c>
      <c r="I50" s="3">
        <v>0.03</v>
      </c>
      <c r="J50" s="5">
        <v>7.8</v>
      </c>
      <c r="K50" s="5">
        <v>12</v>
      </c>
      <c r="L50" s="5">
        <v>264.2</v>
      </c>
      <c r="M50" s="3" t="s">
        <v>126</v>
      </c>
      <c r="N50" s="3" t="s">
        <v>127</v>
      </c>
    </row>
    <row r="51" spans="1:14">
      <c r="A51" s="3" t="s">
        <v>191</v>
      </c>
      <c r="B51" s="4">
        <v>46229</v>
      </c>
      <c r="C51" s="3" t="s">
        <v>156</v>
      </c>
      <c r="D51" s="3" t="s">
        <v>157</v>
      </c>
      <c r="E51" s="3" t="s">
        <v>48</v>
      </c>
      <c r="F51" s="3" t="s">
        <v>49</v>
      </c>
      <c r="G51" s="3">
        <v>5</v>
      </c>
      <c r="H51" s="5">
        <v>61</v>
      </c>
      <c r="I51" s="3">
        <v>0.03</v>
      </c>
      <c r="J51" s="5">
        <v>9.15</v>
      </c>
      <c r="K51" s="5">
        <v>12</v>
      </c>
      <c r="L51" s="5">
        <v>307.85</v>
      </c>
      <c r="M51" s="3" t="s">
        <v>126</v>
      </c>
      <c r="N51" s="3" t="s">
        <v>134</v>
      </c>
    </row>
    <row r="52" spans="1:14">
      <c r="A52" s="3" t="s">
        <v>192</v>
      </c>
      <c r="B52" s="4">
        <v>46230</v>
      </c>
      <c r="C52" s="3" t="s">
        <v>143</v>
      </c>
      <c r="D52" s="3" t="s">
        <v>144</v>
      </c>
      <c r="E52" s="3" t="s">
        <v>48</v>
      </c>
      <c r="F52" s="3" t="s">
        <v>49</v>
      </c>
      <c r="G52" s="3">
        <v>17</v>
      </c>
      <c r="H52" s="5">
        <v>57</v>
      </c>
      <c r="I52" s="3">
        <v>0.06</v>
      </c>
      <c r="J52" s="5">
        <v>58.14</v>
      </c>
      <c r="K52" s="5">
        <v>0</v>
      </c>
      <c r="L52" s="5">
        <v>910.86</v>
      </c>
      <c r="M52" s="3" t="s">
        <v>126</v>
      </c>
      <c r="N52" s="3" t="s">
        <v>141</v>
      </c>
    </row>
    <row r="53" spans="1:14">
      <c r="A53" s="3" t="s">
        <v>193</v>
      </c>
      <c r="B53" s="4">
        <v>46230</v>
      </c>
      <c r="C53" s="3" t="s">
        <v>150</v>
      </c>
      <c r="D53" s="3" t="s">
        <v>151</v>
      </c>
      <c r="E53" s="3" t="s">
        <v>34</v>
      </c>
      <c r="F53" s="3" t="s">
        <v>35</v>
      </c>
      <c r="G53" s="3">
        <v>4</v>
      </c>
      <c r="H53" s="5">
        <v>41</v>
      </c>
      <c r="I53" s="3">
        <v>0.03</v>
      </c>
      <c r="J53" s="5">
        <v>4.92</v>
      </c>
      <c r="K53" s="5">
        <v>12</v>
      </c>
      <c r="L53" s="5">
        <v>171.08</v>
      </c>
      <c r="M53" s="3" t="s">
        <v>126</v>
      </c>
      <c r="N53" s="3" t="s">
        <v>127</v>
      </c>
    </row>
    <row r="54" spans="1:14">
      <c r="A54" s="3" t="s">
        <v>194</v>
      </c>
      <c r="B54" s="4">
        <v>46230</v>
      </c>
      <c r="C54" s="3" t="s">
        <v>156</v>
      </c>
      <c r="D54" s="3" t="s">
        <v>157</v>
      </c>
      <c r="E54" s="3" t="s">
        <v>44</v>
      </c>
      <c r="F54" s="3" t="s">
        <v>45</v>
      </c>
      <c r="G54" s="3">
        <v>5</v>
      </c>
      <c r="H54" s="5">
        <v>55</v>
      </c>
      <c r="I54" s="3">
        <v>0.03</v>
      </c>
      <c r="J54" s="5">
        <v>8.25</v>
      </c>
      <c r="K54" s="5">
        <v>12</v>
      </c>
      <c r="L54" s="5">
        <v>278.75</v>
      </c>
      <c r="M54" s="3" t="s">
        <v>126</v>
      </c>
      <c r="N54" s="3" t="s">
        <v>134</v>
      </c>
    </row>
    <row r="55" spans="1:14">
      <c r="A55" s="3" t="s">
        <v>195</v>
      </c>
      <c r="B55" s="4">
        <v>46230</v>
      </c>
      <c r="C55" s="3" t="s">
        <v>162</v>
      </c>
      <c r="D55" s="3" t="s">
        <v>163</v>
      </c>
      <c r="E55" s="3" t="s">
        <v>28</v>
      </c>
      <c r="F55" s="3" t="s">
        <v>29</v>
      </c>
      <c r="G55" s="3">
        <v>6</v>
      </c>
      <c r="H55" s="5">
        <v>81</v>
      </c>
      <c r="I55" s="3">
        <v>0.06</v>
      </c>
      <c r="J55" s="5">
        <v>29.16</v>
      </c>
      <c r="K55" s="5">
        <v>12</v>
      </c>
      <c r="L55" s="5">
        <v>468.84</v>
      </c>
      <c r="M55" s="3" t="s">
        <v>126</v>
      </c>
      <c r="N55" s="3" t="s">
        <v>127</v>
      </c>
    </row>
    <row r="56" spans="1:14">
      <c r="A56" s="3" t="s">
        <v>196</v>
      </c>
      <c r="B56" s="4">
        <v>46231</v>
      </c>
      <c r="C56" s="3" t="s">
        <v>150</v>
      </c>
      <c r="D56" s="3" t="s">
        <v>151</v>
      </c>
      <c r="E56" s="3" t="s">
        <v>28</v>
      </c>
      <c r="F56" s="3" t="s">
        <v>29</v>
      </c>
      <c r="G56" s="3">
        <v>4</v>
      </c>
      <c r="H56" s="5">
        <v>85</v>
      </c>
      <c r="I56" s="3">
        <v>0.03</v>
      </c>
      <c r="J56" s="5">
        <v>10.2</v>
      </c>
      <c r="K56" s="5">
        <v>12</v>
      </c>
      <c r="L56" s="5">
        <v>341.8</v>
      </c>
      <c r="M56" s="3" t="s">
        <v>126</v>
      </c>
      <c r="N56" s="3" t="s">
        <v>127</v>
      </c>
    </row>
    <row r="57" spans="1:14">
      <c r="A57" s="3" t="s">
        <v>197</v>
      </c>
      <c r="B57" s="4">
        <v>46231</v>
      </c>
      <c r="C57" s="3" t="s">
        <v>156</v>
      </c>
      <c r="D57" s="3" t="s">
        <v>157</v>
      </c>
      <c r="E57" s="3" t="s">
        <v>40</v>
      </c>
      <c r="F57" s="3" t="s">
        <v>41</v>
      </c>
      <c r="G57" s="3">
        <v>5</v>
      </c>
      <c r="H57" s="5">
        <v>68</v>
      </c>
      <c r="I57" s="3">
        <v>0.03</v>
      </c>
      <c r="J57" s="5">
        <v>10.2</v>
      </c>
      <c r="K57" s="5">
        <v>12</v>
      </c>
      <c r="L57" s="5">
        <v>341.8</v>
      </c>
      <c r="M57" s="3" t="s">
        <v>146</v>
      </c>
      <c r="N57" s="3" t="s">
        <v>134</v>
      </c>
    </row>
    <row r="58" spans="1:14">
      <c r="A58" s="3" t="s">
        <v>198</v>
      </c>
      <c r="B58" s="4">
        <v>46231</v>
      </c>
      <c r="C58" s="3" t="s">
        <v>162</v>
      </c>
      <c r="D58" s="3" t="s">
        <v>163</v>
      </c>
      <c r="E58" s="3" t="s">
        <v>50</v>
      </c>
      <c r="F58" s="3" t="s">
        <v>51</v>
      </c>
      <c r="G58" s="3">
        <v>6</v>
      </c>
      <c r="H58" s="5">
        <v>84</v>
      </c>
      <c r="I58" s="3">
        <v>0.06</v>
      </c>
      <c r="J58" s="5">
        <v>30.24</v>
      </c>
      <c r="K58" s="5">
        <v>12</v>
      </c>
      <c r="L58" s="5">
        <v>485.76</v>
      </c>
      <c r="M58" s="3" t="s">
        <v>126</v>
      </c>
      <c r="N58" s="3" t="s">
        <v>127</v>
      </c>
    </row>
    <row r="59" spans="1:14">
      <c r="A59" s="3" t="s">
        <v>199</v>
      </c>
      <c r="B59" s="4">
        <v>46231</v>
      </c>
      <c r="C59" s="3" t="s">
        <v>124</v>
      </c>
      <c r="D59" s="3" t="s">
        <v>125</v>
      </c>
      <c r="E59" s="3" t="s">
        <v>36</v>
      </c>
      <c r="F59" s="3" t="s">
        <v>37</v>
      </c>
      <c r="G59" s="3">
        <v>7</v>
      </c>
      <c r="H59" s="5">
        <v>70</v>
      </c>
      <c r="I59" s="3">
        <v>0.06</v>
      </c>
      <c r="J59" s="5">
        <v>29.4</v>
      </c>
      <c r="K59" s="5">
        <v>12</v>
      </c>
      <c r="L59" s="5">
        <v>472.6</v>
      </c>
      <c r="M59" s="3" t="s">
        <v>126</v>
      </c>
      <c r="N59" s="3" t="s">
        <v>141</v>
      </c>
    </row>
  </sheetData>
  <mergeCells count="1">
    <mergeCell ref="A1:N1"/>
  </mergeCells>
  <pageMargins left="0.7" right="0.7" top="0.75" bottom="0.75" header="0.3" footer="0.3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"/>
  <sheetViews>
    <sheetView showGridLines="0" workbookViewId="0">
      <selection activeCell="A1" sqref="A1:N1"/>
    </sheetView>
  </sheetViews>
  <sheetFormatPr defaultColWidth="9" defaultRowHeight="13.5"/>
  <cols>
    <col min="1" max="1" width="14" customWidth="1"/>
    <col min="2" max="2" width="24" customWidth="1"/>
    <col min="3" max="3" width="12" customWidth="1"/>
    <col min="4" max="4" width="14" customWidth="1"/>
    <col min="5" max="5" width="12" customWidth="1"/>
  </cols>
  <sheetData>
    <row r="1" ht="30" customHeight="1" spans="1:5">
      <c r="A1" s="1" t="s">
        <v>200</v>
      </c>
    </row>
    <row r="3" spans="1:5">
      <c r="A3" s="2" t="s">
        <v>113</v>
      </c>
      <c r="B3" s="2" t="s">
        <v>114</v>
      </c>
      <c r="C3" s="2" t="s">
        <v>201</v>
      </c>
      <c r="D3" s="2" t="s">
        <v>202</v>
      </c>
      <c r="E3" s="2" t="s">
        <v>203</v>
      </c>
    </row>
    <row r="4" spans="1:5">
      <c r="A4" s="3" t="s">
        <v>129</v>
      </c>
      <c r="B4" s="3" t="s">
        <v>130</v>
      </c>
      <c r="C4" s="3" t="s">
        <v>204</v>
      </c>
      <c r="D4" s="3" t="s">
        <v>205</v>
      </c>
      <c r="E4" s="3" t="s">
        <v>206</v>
      </c>
    </row>
    <row r="5" spans="1:5">
      <c r="A5" s="3" t="s">
        <v>132</v>
      </c>
      <c r="B5" s="3" t="s">
        <v>133</v>
      </c>
      <c r="C5" s="3" t="s">
        <v>207</v>
      </c>
      <c r="D5" s="3" t="s">
        <v>208</v>
      </c>
      <c r="E5" s="3" t="s">
        <v>206</v>
      </c>
    </row>
    <row r="6" spans="1:5">
      <c r="A6" s="3" t="s">
        <v>136</v>
      </c>
      <c r="B6" s="3" t="s">
        <v>137</v>
      </c>
      <c r="C6" s="3" t="s">
        <v>209</v>
      </c>
      <c r="D6" s="3" t="s">
        <v>210</v>
      </c>
      <c r="E6" s="3" t="s">
        <v>211</v>
      </c>
    </row>
    <row r="7" spans="1:5">
      <c r="A7" s="3" t="s">
        <v>143</v>
      </c>
      <c r="B7" s="3" t="s">
        <v>144</v>
      </c>
      <c r="C7" s="3" t="s">
        <v>212</v>
      </c>
      <c r="D7" s="3" t="s">
        <v>205</v>
      </c>
      <c r="E7" s="3" t="s">
        <v>206</v>
      </c>
    </row>
    <row r="8" spans="1:5">
      <c r="A8" s="3" t="s">
        <v>150</v>
      </c>
      <c r="B8" s="3" t="s">
        <v>151</v>
      </c>
      <c r="C8" s="3" t="s">
        <v>213</v>
      </c>
      <c r="D8" s="3" t="s">
        <v>214</v>
      </c>
      <c r="E8" s="3" t="s">
        <v>211</v>
      </c>
    </row>
    <row r="9" spans="1:5">
      <c r="A9" s="3" t="s">
        <v>156</v>
      </c>
      <c r="B9" s="3" t="s">
        <v>157</v>
      </c>
      <c r="C9" s="3" t="s">
        <v>207</v>
      </c>
      <c r="D9" s="3" t="s">
        <v>205</v>
      </c>
      <c r="E9" s="3" t="s">
        <v>211</v>
      </c>
    </row>
    <row r="10" spans="1:5">
      <c r="A10" s="3" t="s">
        <v>162</v>
      </c>
      <c r="B10" s="3" t="s">
        <v>163</v>
      </c>
      <c r="C10" s="3" t="s">
        <v>215</v>
      </c>
      <c r="D10" s="3" t="s">
        <v>205</v>
      </c>
      <c r="E10" s="3" t="s">
        <v>206</v>
      </c>
    </row>
    <row r="11" spans="1:5">
      <c r="A11" s="3" t="s">
        <v>124</v>
      </c>
      <c r="B11" s="3" t="s">
        <v>125</v>
      </c>
      <c r="C11" s="3" t="s">
        <v>216</v>
      </c>
      <c r="D11" s="3" t="s">
        <v>217</v>
      </c>
      <c r="E11" s="3" t="s">
        <v>206</v>
      </c>
    </row>
  </sheetData>
  <mergeCells count="1">
    <mergeCell ref="A1:N1"/>
  </mergeCells>
  <pageMargins left="0.7" right="0.7" top="0.75" bottom="0.75" header="0.3" footer="0.3"/>
  <headerFooter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"/>
  <sheetViews>
    <sheetView showGridLines="0" workbookViewId="0">
      <selection activeCell="A1" sqref="A1:N1"/>
    </sheetView>
  </sheetViews>
  <sheetFormatPr defaultColWidth="9" defaultRowHeight="13.5"/>
  <cols>
    <col min="1" max="1" width="19" customWidth="1"/>
    <col min="2" max="2" width="13" customWidth="1"/>
    <col min="3" max="4" width="14" customWidth="1"/>
    <col min="5" max="5" width="12" customWidth="1"/>
    <col min="6" max="6" width="14" customWidth="1"/>
    <col min="7" max="7" width="16" customWidth="1"/>
    <col min="8" max="8" width="12" customWidth="1"/>
    <col min="9" max="9" width="13" customWidth="1"/>
  </cols>
  <sheetData>
    <row r="1" ht="30" customHeight="1" spans="1:9">
      <c r="A1" s="1" t="s">
        <v>218</v>
      </c>
    </row>
    <row r="3" spans="1:9">
      <c r="A3" s="2" t="s">
        <v>111</v>
      </c>
      <c r="B3" s="2" t="s">
        <v>112</v>
      </c>
      <c r="C3" s="2" t="s">
        <v>113</v>
      </c>
      <c r="D3" s="2" t="s">
        <v>3</v>
      </c>
      <c r="E3" s="2" t="s">
        <v>219</v>
      </c>
      <c r="F3" s="2" t="s">
        <v>19</v>
      </c>
      <c r="G3" s="2" t="s">
        <v>220</v>
      </c>
      <c r="H3" s="2" t="s">
        <v>221</v>
      </c>
      <c r="I3" s="2" t="s">
        <v>222</v>
      </c>
    </row>
    <row r="4" spans="1:9">
      <c r="A4" s="3" t="s">
        <v>123</v>
      </c>
      <c r="B4" s="4">
        <v>46218</v>
      </c>
      <c r="C4" s="3" t="s">
        <v>124</v>
      </c>
      <c r="D4" s="3" t="s">
        <v>48</v>
      </c>
      <c r="E4" s="3">
        <v>1</v>
      </c>
      <c r="F4" s="5">
        <v>57</v>
      </c>
      <c r="G4" s="3" t="s">
        <v>223</v>
      </c>
      <c r="H4" s="3" t="s">
        <v>224</v>
      </c>
      <c r="I4" s="4">
        <v>46229</v>
      </c>
    </row>
    <row r="5" spans="1:9">
      <c r="A5" s="3" t="s">
        <v>149</v>
      </c>
      <c r="B5" s="4">
        <v>46220</v>
      </c>
      <c r="C5" s="3" t="s">
        <v>150</v>
      </c>
      <c r="D5" s="3" t="s">
        <v>42</v>
      </c>
      <c r="E5" s="3">
        <v>2</v>
      </c>
      <c r="F5" s="5">
        <v>62</v>
      </c>
      <c r="G5" s="3" t="s">
        <v>225</v>
      </c>
      <c r="H5" s="3" t="s">
        <v>226</v>
      </c>
      <c r="I5" s="4">
        <v>46230</v>
      </c>
    </row>
    <row r="6" spans="1:9">
      <c r="A6" s="3" t="s">
        <v>166</v>
      </c>
      <c r="B6" s="4">
        <v>46223</v>
      </c>
      <c r="C6" s="3" t="s">
        <v>162</v>
      </c>
      <c r="D6" s="3" t="s">
        <v>50</v>
      </c>
      <c r="E6" s="3">
        <v>1</v>
      </c>
      <c r="F6" s="5">
        <v>84</v>
      </c>
      <c r="G6" s="3" t="s">
        <v>227</v>
      </c>
      <c r="H6" s="3" t="s">
        <v>224</v>
      </c>
      <c r="I6" s="4">
        <v>46231</v>
      </c>
    </row>
    <row r="7" spans="1:9">
      <c r="A7" s="3" t="s">
        <v>177</v>
      </c>
      <c r="B7" s="4">
        <v>46226</v>
      </c>
      <c r="C7" s="3" t="s">
        <v>129</v>
      </c>
      <c r="D7" s="3" t="s">
        <v>34</v>
      </c>
      <c r="E7" s="3">
        <v>2</v>
      </c>
      <c r="F7" s="5">
        <v>74</v>
      </c>
      <c r="G7" s="3" t="s">
        <v>228</v>
      </c>
      <c r="H7" s="3" t="s">
        <v>226</v>
      </c>
      <c r="I7" s="4">
        <v>46229</v>
      </c>
    </row>
    <row r="8" spans="1:9">
      <c r="A8" s="3" t="s">
        <v>188</v>
      </c>
      <c r="B8" s="4">
        <v>46229</v>
      </c>
      <c r="C8" s="3" t="s">
        <v>136</v>
      </c>
      <c r="D8" s="3" t="s">
        <v>42</v>
      </c>
      <c r="E8" s="3">
        <v>1</v>
      </c>
      <c r="F8" s="5">
        <v>31</v>
      </c>
      <c r="G8" s="3" t="s">
        <v>229</v>
      </c>
      <c r="H8" s="3" t="s">
        <v>224</v>
      </c>
      <c r="I8" s="4">
        <v>46230</v>
      </c>
    </row>
    <row r="9" spans="1:9">
      <c r="A9" s="3" t="s">
        <v>199</v>
      </c>
      <c r="B9" s="4">
        <v>46231</v>
      </c>
      <c r="C9" s="3" t="s">
        <v>124</v>
      </c>
      <c r="D9" s="3" t="s">
        <v>36</v>
      </c>
      <c r="E9" s="3">
        <v>2</v>
      </c>
      <c r="F9" s="5">
        <v>140</v>
      </c>
      <c r="G9" s="3" t="s">
        <v>230</v>
      </c>
      <c r="H9" s="3" t="s">
        <v>226</v>
      </c>
      <c r="I9" s="4">
        <v>46231</v>
      </c>
    </row>
  </sheetData>
  <mergeCells count="1">
    <mergeCell ref="A1:N1"/>
  </mergeCell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经营看板</vt:lpstr>
      <vt:lpstr>库存明细</vt:lpstr>
      <vt:lpstr>商品档案</vt:lpstr>
      <vt:lpstr>采购明细</vt:lpstr>
      <vt:lpstr>入库明细</vt:lpstr>
      <vt:lpstr>销售订单</vt:lpstr>
      <vt:lpstr>客户档案</vt:lpstr>
      <vt:lpstr>退款售后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qzuser</cp:lastModifiedBy>
  <dcterms:created xsi:type="dcterms:W3CDTF">2026-07-29T02:46:57Z</dcterms:created>
  <dcterms:modified xsi:type="dcterms:W3CDTF">2026-07-29T03:10:19Z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5918FF29517B41D8BBAFC569DD601481_12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